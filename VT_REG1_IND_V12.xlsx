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18\"/>
    </mc:Choice>
  </mc:AlternateContent>
  <xr:revisionPtr revIDLastSave="0" documentId="13_ncr:1_{674B2630-0CB3-43CD-94DE-CAC98C19FA8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B1" sheetId="133" r:id="rId1"/>
    <sheet name="RES_IND" sheetId="152" r:id="rId2"/>
    <sheet name="Sector_Fuels" sheetId="140" r:id="rId3"/>
    <sheet name="DemTechs_IND" sheetId="138" r:id="rId4"/>
    <sheet name="Demands" sheetId="134" r:id="rId5"/>
    <sheet name="Emi" sheetId="149" r:id="rId6"/>
  </sheets>
  <externalReferences>
    <externalReference r:id="rId7"/>
    <externalReference r:id="rId8"/>
    <externalReference r:id="rId9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38" l="1"/>
  <c r="B20" i="138"/>
  <c r="B21" i="138"/>
  <c r="B22" i="138"/>
  <c r="B23" i="138"/>
  <c r="B24" i="138"/>
  <c r="B25" i="138"/>
  <c r="B26" i="138"/>
  <c r="B27" i="138"/>
  <c r="B18" i="138"/>
  <c r="D21" i="140"/>
  <c r="D22" i="140"/>
  <c r="M21" i="140"/>
  <c r="M22" i="140"/>
  <c r="L21" i="140"/>
  <c r="B21" i="140" s="1"/>
  <c r="L22" i="140"/>
  <c r="B22" i="140" s="1"/>
  <c r="L20" i="140"/>
  <c r="B20" i="140" s="1"/>
  <c r="J27" i="134"/>
  <c r="J23" i="134"/>
  <c r="J19" i="134"/>
  <c r="J15" i="134"/>
  <c r="J11" i="134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18" i="138" s="1"/>
  <c r="K18" i="138" s="1"/>
  <c r="E7" i="133"/>
  <c r="F7" i="133"/>
  <c r="G7" i="133"/>
  <c r="E24" i="138" s="1"/>
  <c r="K24" i="138" s="1"/>
  <c r="H7" i="133"/>
  <c r="I7" i="133"/>
  <c r="E23" i="138" s="1"/>
  <c r="J7" i="133"/>
  <c r="K7" i="133"/>
  <c r="L7" i="133"/>
  <c r="E21" i="138" s="1"/>
  <c r="K21" i="138" s="1"/>
  <c r="M7" i="133"/>
  <c r="N7" i="133"/>
  <c r="O7" i="133"/>
  <c r="E19" i="138" s="1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C2" i="138"/>
  <c r="P10" i="138" s="1"/>
  <c r="C2" i="140"/>
  <c r="M20" i="140" s="1"/>
  <c r="B2" i="140"/>
  <c r="L10" i="140" s="1"/>
  <c r="B2" i="138"/>
  <c r="C22" i="140"/>
  <c r="C20" i="140"/>
  <c r="C21" i="140"/>
  <c r="D2" i="138"/>
  <c r="Q10" i="138"/>
  <c r="F2" i="140"/>
  <c r="E2" i="140"/>
  <c r="F2" i="134"/>
  <c r="E2" i="134"/>
  <c r="E8" i="134" s="1"/>
  <c r="F2" i="138"/>
  <c r="E2" i="138"/>
  <c r="Q23" i="138" l="1"/>
  <c r="R23" i="138"/>
  <c r="Q24" i="138"/>
  <c r="R24" i="138"/>
  <c r="K23" i="138"/>
  <c r="E20" i="138"/>
  <c r="K20" i="138" s="1"/>
  <c r="E22" i="138"/>
  <c r="K22" i="138" s="1"/>
  <c r="L23" i="140"/>
  <c r="B23" i="140" s="1"/>
  <c r="D23" i="140"/>
  <c r="R22" i="138"/>
  <c r="Q22" i="138"/>
  <c r="N21" i="140"/>
  <c r="O21" i="140"/>
  <c r="O24" i="140"/>
  <c r="N22" i="140"/>
  <c r="O22" i="140"/>
  <c r="N24" i="140"/>
  <c r="N8" i="140"/>
  <c r="N9" i="140"/>
  <c r="V7" i="133"/>
  <c r="O6" i="138"/>
  <c r="O5" i="138"/>
  <c r="D21" i="138" s="1"/>
  <c r="O9" i="138"/>
  <c r="O7" i="138"/>
  <c r="O8" i="138"/>
  <c r="K19" i="138"/>
  <c r="E25" i="138"/>
  <c r="K25" i="138" s="1"/>
  <c r="E11" i="134" s="1"/>
  <c r="E26" i="138"/>
  <c r="K26" i="138" s="1"/>
  <c r="E12" i="134" s="1"/>
  <c r="E27" i="138"/>
  <c r="K27" i="138" s="1"/>
  <c r="E13" i="134" s="1"/>
  <c r="Q19" i="138"/>
  <c r="R27" i="138"/>
  <c r="R26" i="138"/>
  <c r="Q26" i="138"/>
  <c r="Q27" i="138"/>
  <c r="Q25" i="138"/>
  <c r="R25" i="138"/>
  <c r="Q20" i="138"/>
  <c r="R21" i="138"/>
  <c r="Q21" i="138"/>
  <c r="R20" i="138"/>
  <c r="Q18" i="138"/>
  <c r="R18" i="138"/>
  <c r="R19" i="138"/>
  <c r="P9" i="138"/>
  <c r="P8" i="138"/>
  <c r="P7" i="138"/>
  <c r="P6" i="138"/>
  <c r="P5" i="138"/>
  <c r="L5" i="140"/>
  <c r="L18" i="140" s="1"/>
  <c r="B18" i="140" s="1"/>
  <c r="O19" i="140"/>
  <c r="M5" i="140"/>
  <c r="M18" i="140" s="1"/>
  <c r="O20" i="140"/>
  <c r="N5" i="140"/>
  <c r="O23" i="140"/>
  <c r="M6" i="140"/>
  <c r="M19" i="140" s="1"/>
  <c r="N7" i="140"/>
  <c r="N6" i="140"/>
  <c r="L11" i="140"/>
  <c r="L24" i="140" s="1"/>
  <c r="B24" i="140" s="1"/>
  <c r="M11" i="140"/>
  <c r="M24" i="140" s="1"/>
  <c r="N11" i="140"/>
  <c r="O18" i="140"/>
  <c r="N19" i="140"/>
  <c r="M10" i="140"/>
  <c r="M23" i="140" s="1"/>
  <c r="N10" i="140"/>
  <c r="N23" i="140"/>
  <c r="L6" i="140"/>
  <c r="D19" i="140" s="1"/>
  <c r="C19" i="140" s="1"/>
  <c r="N18" i="140"/>
  <c r="O10" i="138"/>
  <c r="N20" i="140"/>
  <c r="T13" i="133"/>
  <c r="N13" i="133"/>
  <c r="O13" i="133"/>
  <c r="L13" i="133"/>
  <c r="K13" i="133"/>
  <c r="V12" i="133"/>
  <c r="V10" i="133"/>
  <c r="V8" i="133"/>
  <c r="V6" i="133"/>
  <c r="U13" i="133"/>
  <c r="I13" i="133"/>
  <c r="V11" i="133"/>
  <c r="V9" i="133"/>
  <c r="H13" i="133"/>
  <c r="M13" i="133"/>
  <c r="S13" i="133"/>
  <c r="G13" i="133"/>
  <c r="E13" i="133"/>
  <c r="J13" i="133"/>
  <c r="V5" i="133"/>
  <c r="D13" i="133"/>
  <c r="F17" i="140"/>
  <c r="K29" i="138" l="1"/>
  <c r="D23" i="138"/>
  <c r="D24" i="138"/>
  <c r="E10" i="134"/>
  <c r="E9" i="134"/>
  <c r="E15" i="134" s="1"/>
  <c r="H23" i="134"/>
  <c r="H24" i="134"/>
  <c r="C12" i="134"/>
  <c r="D26" i="138"/>
  <c r="H22" i="134"/>
  <c r="H21" i="134"/>
  <c r="D25" i="138"/>
  <c r="H18" i="134"/>
  <c r="C11" i="134"/>
  <c r="H20" i="134"/>
  <c r="H17" i="134"/>
  <c r="H19" i="134"/>
  <c r="C13" i="134"/>
  <c r="H27" i="134"/>
  <c r="D27" i="138"/>
  <c r="H25" i="134"/>
  <c r="H26" i="134"/>
  <c r="H28" i="134"/>
  <c r="H11" i="134"/>
  <c r="D18" i="138"/>
  <c r="H10" i="134"/>
  <c r="D19" i="138"/>
  <c r="H12" i="134"/>
  <c r="C9" i="134"/>
  <c r="H9" i="134"/>
  <c r="D20" i="138"/>
  <c r="H16" i="134"/>
  <c r="H13" i="134"/>
  <c r="H14" i="134"/>
  <c r="H15" i="134"/>
  <c r="C10" i="134"/>
  <c r="D22" i="138"/>
  <c r="B8" i="149"/>
  <c r="E6" i="149"/>
  <c r="D20" i="140"/>
  <c r="C6" i="149"/>
  <c r="D18" i="140"/>
  <c r="C18" i="140" s="1"/>
  <c r="L19" i="140"/>
  <c r="B19" i="140" s="1"/>
  <c r="D6" i="149"/>
  <c r="V13" i="133"/>
  <c r="D24" i="140"/>
  <c r="C24" i="1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  <comment ref="AD8" authorId="0" shapeId="0" xr:uid="{00000000-0006-0000-0000-000002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8672A030-926D-4F0D-93A1-385B65FF3C25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8D435761-4BDE-402C-B3DB-F229128B3F2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8C1280D1-3934-41CA-B3D0-558172596B6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548A7919-725F-46EF-BEB0-FE54F89098B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3C8E6E45-8B75-4BDB-9805-E4C300BC5A4F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5C1A9C97-41DD-4E89-830E-489CDE5E268C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64960F64-9266-4071-9C6F-2A0CD9C0869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2FD78FC6-2C46-4201-9919-7951AC566E28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79079863-6561-47CD-8C3C-C9F8D5A59A6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5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<sst xmlns="http://schemas.openxmlformats.org/spreadsheetml/2006/main" count="450" uniqueCount="209">
  <si>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</si>
  <si>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</si>
  <si>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</si>
  <si>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</si>
  <si>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</si>
  <si>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</si>
  <si>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</si>
  <si>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</si>
  <si>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</si>
  <si>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</si>
  <si>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</si>
  <si>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</si>
  <si>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</si>
  <si>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</si>
  <si>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</si>
  <si>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</si>
  <si>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</si>
  <si>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</si>
  <si>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</si>
  <si>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</si>
  <si>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</si>
  <si>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</si>
  <si>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</si>
  <si>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</si>
  <si>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</si>
  <si>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</si>
  <si>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</si>
  <si>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</si>
  <si>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</si>
  <si>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</si>
  <si>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</si>
  <si>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</si>
  <si>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</si>
  <si>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</si>
  <si>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</si>
  <si>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</si>
  <si>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</si>
  <si>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</si>
  <si>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</si>
  <si>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</si>
  <si>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</si>
  <si>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</si>
  <si>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</si>
  <si>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</si>
  <si>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</si>
  <si>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</si>
  <si>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</si>
  <si>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</si>
  <si>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</si>
  <si>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</si>
  <si>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</si>
  <si>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</si>
  <si>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</si>
  <si>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</si>
  <si>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</si>
  <si>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</si>
  <si>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</si>
  <si>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</si>
  <si>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</si>
  <si>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</si>
  <si>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</si>
  <si>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</si>
  <si>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</si>
  <si>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</si>
  <si>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</si>
  <si>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</si>
  <si>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</si>
  <si>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</si>
  <si>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</si>
  <si>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</si>
  <si>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</si>
  <si>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</si>
  <si>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</si>
  <si>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</si>
  <si>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</si>
  <si>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</si>
  <si>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</si>
  <si>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</si>
  <si>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</si>
  <si>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</si>
  <si>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</si>
  <si>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</si>
  <si>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</si>
  <si>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</si>
  <si>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</si>
  <si>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</si>
  <si>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</si>
  <si>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</si>
  <si>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</si>
  <si>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</si>
  <si>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</si>
  <si>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</si>
  <si>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</si>
  <si>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</si>
  <si>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</si>
  <si>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</si>
  <si>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</si>
  <si>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</si>
  <si>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</si>
  <si>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</si>
  <si>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</si>
  <si>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</si>
  <si>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</si>
  <si>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</si>
  <si>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</si>
  <si>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</si>
  <si>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</si>
  <si>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</si>
  <si>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</si>
  <si>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</si>
  <si>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</si>
  <si>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</si>
  <si>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</si>
  <si>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</si>
  <si>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</si>
  <si>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</si>
  <si>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</si>
  <si>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Timeslices</t>
  </si>
  <si>
    <t>COM_FR</t>
  </si>
  <si>
    <t>Break-out by Region 1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</si>
  <si>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</si>
  <si>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</si>
  <si>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</si>
  <si>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</si>
  <si>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</si>
  <si>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</si>
  <si>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</si>
  <si>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</si>
  <si>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</si>
  <si>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</si>
  <si>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</si>
  <si>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</si>
  <si>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</si>
  <si>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</si>
  <si>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</si>
  <si>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</si>
  <si>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</si>
  <si>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</si>
  <si>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</si>
  <si>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</si>
  <si>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</si>
  <si>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</si>
  <si>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</si>
  <si>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</si>
  <si>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</si>
  <si>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</si>
  <si>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</si>
  <si>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DAYNITE</t>
  </si>
  <si>
    <t>TOT</t>
  </si>
  <si>
    <t>Dynamic coefficients for combustion emissions in industry</t>
  </si>
  <si>
    <t>Industrial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</si>
  <si>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</si>
  <si>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</si>
  <si>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</si>
  <si>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</si>
  <si>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</si>
  <si>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</si>
  <si>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</si>
  <si>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</si>
  <si>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Lifetime</t>
  </si>
  <si>
    <t>M$2021</t>
  </si>
  <si>
    <t>DD</t>
  </si>
  <si>
    <t>DN</t>
  </si>
  <si>
    <t>RD</t>
  </si>
  <si>
    <t>RN</t>
  </si>
  <si>
    <t>BOIL</t>
  </si>
  <si>
    <t>COMP</t>
  </si>
  <si>
    <t>Boiler</t>
  </si>
  <si>
    <t>Compressor</t>
  </si>
  <si>
    <t>PUMP</t>
  </si>
  <si>
    <t>Pump</t>
  </si>
  <si>
    <t>MOTO</t>
  </si>
  <si>
    <t>Heavy Motor</t>
  </si>
  <si>
    <t>CAP2ACT</t>
  </si>
  <si>
    <t>Capacity to Activity Factor</t>
  </si>
  <si>
    <t>Capacity Unit/PJ</t>
  </si>
  <si>
    <t>INDCOA</t>
  </si>
  <si>
    <t>INDBIO</t>
  </si>
  <si>
    <t>INDELC</t>
  </si>
  <si>
    <t>Production</t>
  </si>
  <si>
    <t>GW</t>
  </si>
  <si>
    <t>OAPP</t>
  </si>
  <si>
    <t>Other Appliance</t>
  </si>
  <si>
    <t>INDLPG</t>
  </si>
  <si>
    <t>INDHFO</t>
  </si>
  <si>
    <t>INDDSL</t>
  </si>
  <si>
    <t>Industry DSL</t>
  </si>
  <si>
    <t>Industry LPG</t>
  </si>
  <si>
    <t>Industry HFO</t>
  </si>
  <si>
    <t>IBOILECOA</t>
  </si>
  <si>
    <t>IBOILEBIO</t>
  </si>
  <si>
    <t>IBOILEELC</t>
  </si>
  <si>
    <t>IOAPPEELC</t>
  </si>
  <si>
    <t>IOAPPEDSL</t>
  </si>
  <si>
    <t>ICOMPEELC</t>
  </si>
  <si>
    <t>IPUMPEELC</t>
  </si>
  <si>
    <t>IMOTOEELC</t>
  </si>
  <si>
    <t>IBOILHFO</t>
  </si>
  <si>
    <t>Demand Technologies Industry Sector - Existing Boiler - Solid Fuels</t>
  </si>
  <si>
    <t>Demand Technologies Industry Sector - Existing Boiler - Biomass</t>
  </si>
  <si>
    <t>Demand Technologies Industry Sector - Existing Boiler - Electricity</t>
  </si>
  <si>
    <t>Demand Technologies Industry Sector - Existing Other Appliance - Electricity</t>
  </si>
  <si>
    <t>Demand Technologies Industry Sector - Existing Other Appliance - Diesel oil</t>
  </si>
  <si>
    <t>Demand Technologies Industry Sector - Existing Compressor - Electricity</t>
  </si>
  <si>
    <t>Demand Technologies Industry Sector - Existing Pump - Electricity</t>
  </si>
  <si>
    <t>Demand Technologies Industry Sector - Existing Heavy Motor - Electricity</t>
  </si>
  <si>
    <t>Demand Technologies Industry Sector - Existing Boiler - HFO</t>
  </si>
  <si>
    <t>IOAPPELPG</t>
  </si>
  <si>
    <t>Demand Technologies Industry Sector - Existing Other Appliance - 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</si>
</sst>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8">
    <xf numFmtId="0" fontId="0" fillId="0" borderId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7" applyNumberFormat="0" applyAlignment="0" applyProtection="0"/>
    <xf numFmtId="164" fontId="16" fillId="0" borderId="0" applyFont="0" applyFill="0" applyBorder="0" applyAlignment="0" applyProtection="0"/>
    <xf numFmtId="0" fontId="19" fillId="8" borderId="0" applyNumberFormat="0" applyBorder="0" applyAlignment="0" applyProtection="0"/>
    <xf numFmtId="0" fontId="20" fillId="9" borderId="17" applyNumberFormat="0" applyAlignment="0" applyProtection="0"/>
    <xf numFmtId="0" fontId="21" fillId="1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" fillId="0" borderId="0"/>
    <xf numFmtId="0" fontId="1" fillId="17" borderId="0" applyNumberFormat="0" applyBorder="0" applyAlignment="0" applyProtection="0"/>
  </cellStyleXfs>
  <cellXfs count="147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0" xfId="11" applyFont="1" applyAlignment="1">
      <alignment horizontal="left"/>
    </xf>
    <xf numFmtId="0" fontId="0" fillId="0" borderId="2" xfId="0" applyBorder="1"/>
    <xf numFmtId="165" fontId="9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17" fillId="6" borderId="0" xfId="3"/>
    <xf numFmtId="0" fontId="22" fillId="0" borderId="0" xfId="6" applyFont="1" applyFill="1"/>
    <xf numFmtId="0" fontId="22" fillId="11" borderId="0" xfId="6" applyFont="1" applyFill="1"/>
    <xf numFmtId="0" fontId="5" fillId="0" borderId="0" xfId="8" applyFont="1" applyFill="1"/>
    <xf numFmtId="1" fontId="5" fillId="0" borderId="0" xfId="0" applyNumberFormat="1" applyFont="1"/>
    <xf numFmtId="0" fontId="23" fillId="4" borderId="3" xfId="1" applyFont="1" applyBorder="1" applyAlignment="1">
      <alignment horizontal="center" wrapText="1"/>
    </xf>
    <xf numFmtId="0" fontId="24" fillId="0" borderId="0" xfId="0" applyFont="1"/>
    <xf numFmtId="0" fontId="23" fillId="4" borderId="3" xfId="1" applyFont="1" applyBorder="1" applyAlignment="1">
      <alignment horizontal="left" wrapText="1"/>
    </xf>
    <xf numFmtId="0" fontId="23" fillId="4" borderId="1" xfId="1" applyFont="1" applyBorder="1" applyAlignment="1">
      <alignment horizontal="left" wrapText="1"/>
    </xf>
    <xf numFmtId="2" fontId="0" fillId="0" borderId="0" xfId="0" applyNumberFormat="1"/>
    <xf numFmtId="0" fontId="4" fillId="2" borderId="1" xfId="11" applyFont="1" applyFill="1" applyBorder="1" applyAlignment="1">
      <alignment horizontal="left" vertical="center"/>
    </xf>
    <xf numFmtId="0" fontId="22" fillId="11" borderId="0" xfId="6" applyFont="1" applyFill="1" applyAlignment="1">
      <alignment wrapText="1"/>
    </xf>
    <xf numFmtId="0" fontId="0" fillId="0" borderId="0" xfId="0" applyAlignment="1">
      <alignment wrapText="1"/>
    </xf>
    <xf numFmtId="0" fontId="25" fillId="0" borderId="0" xfId="0" applyFont="1"/>
    <xf numFmtId="9" fontId="24" fillId="0" borderId="0" xfId="16" applyFont="1" applyBorder="1" applyAlignment="1"/>
    <xf numFmtId="0" fontId="4" fillId="0" borderId="0" xfId="0" applyFont="1"/>
    <xf numFmtId="0" fontId="5" fillId="0" borderId="0" xfId="9"/>
    <xf numFmtId="0" fontId="5" fillId="0" borderId="0" xfId="9" applyAlignment="1">
      <alignment wrapText="1"/>
    </xf>
    <xf numFmtId="1" fontId="5" fillId="0" borderId="0" xfId="9" applyNumberFormat="1"/>
    <xf numFmtId="9" fontId="0" fillId="0" borderId="0" xfId="16" applyFont="1" applyBorder="1" applyAlignment="1"/>
    <xf numFmtId="0" fontId="5" fillId="0" borderId="2" xfId="0" applyFont="1" applyBorder="1"/>
    <xf numFmtId="0" fontId="5" fillId="0" borderId="2" xfId="9" applyBorder="1"/>
    <xf numFmtId="0" fontId="17" fillId="0" borderId="0" xfId="3" applyFill="1"/>
    <xf numFmtId="0" fontId="6" fillId="0" borderId="0" xfId="0" applyFont="1" applyAlignment="1">
      <alignment horizontal="left"/>
    </xf>
    <xf numFmtId="0" fontId="12" fillId="0" borderId="0" xfId="0" applyFont="1"/>
    <xf numFmtId="0" fontId="12" fillId="3" borderId="0" xfId="0" quotePrefix="1" applyFont="1" applyFill="1"/>
    <xf numFmtId="0" fontId="12" fillId="0" borderId="0" xfId="0" quotePrefix="1" applyFont="1"/>
    <xf numFmtId="0" fontId="4" fillId="0" borderId="0" xfId="11" applyFont="1" applyAlignment="1">
      <alignment horizontal="left" vertical="center"/>
    </xf>
    <xf numFmtId="0" fontId="4" fillId="2" borderId="3" xfId="11" applyFont="1" applyFill="1" applyBorder="1" applyAlignment="1">
      <alignment horizontal="left" vertical="center"/>
    </xf>
    <xf numFmtId="0" fontId="26" fillId="0" borderId="0" xfId="0" applyFont="1"/>
    <xf numFmtId="0" fontId="22" fillId="11" borderId="0" xfId="6" applyFont="1" applyFill="1" applyAlignment="1">
      <alignment horizontal="left"/>
    </xf>
    <xf numFmtId="0" fontId="26" fillId="12" borderId="2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26" fillId="12" borderId="0" xfId="0" applyFont="1" applyFill="1"/>
    <xf numFmtId="0" fontId="0" fillId="13" borderId="0" xfId="0" applyFill="1"/>
    <xf numFmtId="1" fontId="0" fillId="14" borderId="2" xfId="0" applyNumberFormat="1" applyFill="1" applyBorder="1"/>
    <xf numFmtId="1" fontId="20" fillId="9" borderId="0" xfId="7" applyNumberFormat="1" applyBorder="1" applyAlignment="1"/>
    <xf numFmtId="1" fontId="18" fillId="7" borderId="4" xfId="4" applyNumberFormat="1" applyBorder="1" applyAlignment="1">
      <alignment horizontal="right"/>
    </xf>
    <xf numFmtId="1" fontId="18" fillId="7" borderId="5" xfId="4" applyNumberFormat="1" applyBorder="1" applyAlignment="1">
      <alignment horizontal="right"/>
    </xf>
    <xf numFmtId="165" fontId="18" fillId="7" borderId="6" xfId="4" applyNumberFormat="1" applyBorder="1" applyAlignment="1">
      <alignment horizontal="right" vertical="center"/>
    </xf>
    <xf numFmtId="165" fontId="10" fillId="14" borderId="7" xfId="0" applyNumberFormat="1" applyFont="1" applyFill="1" applyBorder="1" applyAlignment="1">
      <alignment horizontal="left" vertical="center"/>
    </xf>
    <xf numFmtId="165" fontId="10" fillId="14" borderId="8" xfId="0" applyNumberFormat="1" applyFont="1" applyFill="1" applyBorder="1" applyAlignment="1">
      <alignment horizontal="left" vertical="center"/>
    </xf>
    <xf numFmtId="165" fontId="10" fillId="14" borderId="9" xfId="0" applyNumberFormat="1" applyFont="1" applyFill="1" applyBorder="1" applyAlignment="1">
      <alignment horizontal="left" vertical="center"/>
    </xf>
    <xf numFmtId="165" fontId="10" fillId="14" borderId="10" xfId="0" applyNumberFormat="1" applyFont="1" applyFill="1" applyBorder="1" applyAlignment="1">
      <alignment horizontal="left" vertical="center"/>
    </xf>
    <xf numFmtId="165" fontId="10" fillId="14" borderId="11" xfId="0" applyNumberFormat="1" applyFont="1" applyFill="1" applyBorder="1" applyAlignment="1">
      <alignment horizontal="left" vertical="center"/>
    </xf>
    <xf numFmtId="165" fontId="10" fillId="14" borderId="12" xfId="0" applyNumberFormat="1" applyFont="1" applyFill="1" applyBorder="1" applyAlignment="1">
      <alignment horizontal="left" vertical="center"/>
    </xf>
    <xf numFmtId="0" fontId="26" fillId="12" borderId="13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6" xfId="0" applyFont="1" applyFill="1" applyBorder="1" applyAlignment="1">
      <alignment wrapText="1"/>
    </xf>
    <xf numFmtId="9" fontId="20" fillId="9" borderId="0" xfId="16" applyFont="1" applyFill="1" applyBorder="1" applyAlignment="1"/>
    <xf numFmtId="165" fontId="18" fillId="7" borderId="13" xfId="4" applyNumberFormat="1" applyBorder="1" applyAlignment="1">
      <alignment horizontal="right" vertical="center"/>
    </xf>
    <xf numFmtId="165" fontId="18" fillId="7" borderId="4" xfId="4" applyNumberFormat="1" applyBorder="1" applyAlignment="1">
      <alignment horizontal="right" vertical="center"/>
    </xf>
    <xf numFmtId="165" fontId="18" fillId="7" borderId="5" xfId="4" applyNumberFormat="1" applyBorder="1" applyAlignment="1">
      <alignment horizontal="right" vertical="center"/>
    </xf>
    <xf numFmtId="9" fontId="13" fillId="14" borderId="12" xfId="16" applyFont="1" applyFill="1" applyBorder="1" applyAlignment="1"/>
    <xf numFmtId="9" fontId="13" fillId="14" borderId="2" xfId="16" applyFont="1" applyFill="1" applyBorder="1" applyAlignment="1"/>
    <xf numFmtId="9" fontId="13" fillId="14" borderId="10" xfId="16" applyFont="1" applyFill="1" applyBorder="1" applyAlignment="1"/>
    <xf numFmtId="9" fontId="13" fillId="14" borderId="1" xfId="16" applyFont="1" applyFill="1" applyBorder="1" applyAlignment="1"/>
    <xf numFmtId="9" fontId="13" fillId="14" borderId="14" xfId="16" applyFont="1" applyFill="1" applyBorder="1" applyAlignment="1"/>
    <xf numFmtId="9" fontId="13" fillId="14" borderId="11" xfId="16" applyFont="1" applyFill="1" applyBorder="1" applyAlignment="1"/>
    <xf numFmtId="9" fontId="13" fillId="14" borderId="0" xfId="16" applyFont="1" applyFill="1" applyBorder="1" applyAlignment="1"/>
    <xf numFmtId="9" fontId="13" fillId="14" borderId="15" xfId="16" applyFont="1" applyFill="1" applyBorder="1" applyAlignment="1"/>
    <xf numFmtId="9" fontId="13" fillId="14" borderId="16" xfId="16" applyFont="1" applyFill="1" applyBorder="1" applyAlignment="1"/>
    <xf numFmtId="9" fontId="20" fillId="9" borderId="11" xfId="16" applyFont="1" applyFill="1" applyBorder="1" applyAlignment="1"/>
    <xf numFmtId="0" fontId="27" fillId="6" borderId="2" xfId="3" applyFont="1" applyBorder="1" applyAlignment="1">
      <alignment horizontal="left" vertical="center"/>
    </xf>
    <xf numFmtId="0" fontId="0" fillId="15" borderId="0" xfId="0" applyFill="1"/>
    <xf numFmtId="2" fontId="0" fillId="15" borderId="0" xfId="0" applyNumberFormat="1" applyFill="1"/>
    <xf numFmtId="2" fontId="5" fillId="13" borderId="0" xfId="8" applyNumberFormat="1" applyFont="1" applyFill="1"/>
    <xf numFmtId="0" fontId="5" fillId="13" borderId="0" xfId="8" applyFont="1" applyFill="1"/>
    <xf numFmtId="2" fontId="0" fillId="13" borderId="0" xfId="0" applyNumberFormat="1" applyFill="1"/>
    <xf numFmtId="2" fontId="0" fillId="15" borderId="2" xfId="0" applyNumberFormat="1" applyFill="1" applyBorder="1"/>
    <xf numFmtId="2" fontId="5" fillId="0" borderId="0" xfId="8" applyNumberFormat="1" applyFont="1" applyFill="1"/>
    <xf numFmtId="0" fontId="28" fillId="0" borderId="0" xfId="0" applyFont="1"/>
    <xf numFmtId="0" fontId="4" fillId="16" borderId="0" xfId="0" applyFont="1" applyFill="1"/>
    <xf numFmtId="0" fontId="4" fillId="2" borderId="1" xfId="11" applyFont="1" applyFill="1" applyBorder="1" applyAlignment="1">
      <alignment horizontal="center" vertical="center" wrapText="1"/>
    </xf>
    <xf numFmtId="0" fontId="23" fillId="4" borderId="1" xfId="1" applyFont="1" applyBorder="1" applyAlignment="1">
      <alignment horizontal="center" wrapText="1"/>
    </xf>
    <xf numFmtId="0" fontId="4" fillId="2" borderId="1" xfId="1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7" fillId="5" borderId="0" xfId="2"/>
    <xf numFmtId="165" fontId="9" fillId="0" borderId="12" xfId="0" applyNumberFormat="1" applyFont="1" applyBorder="1" applyAlignment="1">
      <alignment horizontal="left" vertical="center"/>
    </xf>
    <xf numFmtId="0" fontId="4" fillId="0" borderId="16" xfId="0" applyFont="1" applyBorder="1"/>
    <xf numFmtId="1" fontId="0" fillId="14" borderId="0" xfId="0" applyNumberFormat="1" applyFill="1"/>
    <xf numFmtId="0" fontId="0" fillId="14" borderId="0" xfId="0" applyFill="1"/>
    <xf numFmtId="1" fontId="4" fillId="14" borderId="15" xfId="0" applyNumberFormat="1" applyFont="1" applyFill="1" applyBorder="1"/>
    <xf numFmtId="1" fontId="4" fillId="14" borderId="16" xfId="0" applyNumberFormat="1" applyFont="1" applyFill="1" applyBorder="1"/>
    <xf numFmtId="0" fontId="23" fillId="4" borderId="4" xfId="1" applyFont="1" applyBorder="1" applyAlignment="1">
      <alignment horizontal="left" wrapText="1"/>
    </xf>
    <xf numFmtId="165" fontId="10" fillId="14" borderId="13" xfId="0" applyNumberFormat="1" applyFont="1" applyFill="1" applyBorder="1" applyAlignment="1">
      <alignment horizontal="left" vertical="center"/>
    </xf>
    <xf numFmtId="0" fontId="4" fillId="12" borderId="10" xfId="0" applyFont="1" applyFill="1" applyBorder="1" applyAlignment="1">
      <alignment wrapText="1"/>
    </xf>
    <xf numFmtId="0" fontId="4" fillId="12" borderId="7" xfId="0" applyFont="1" applyFill="1" applyBorder="1" applyAlignment="1">
      <alignment wrapText="1"/>
    </xf>
    <xf numFmtId="0" fontId="26" fillId="12" borderId="15" xfId="0" applyFont="1" applyFill="1" applyBorder="1"/>
    <xf numFmtId="9" fontId="20" fillId="9" borderId="15" xfId="16" applyFont="1" applyFill="1" applyBorder="1" applyAlignment="1"/>
    <xf numFmtId="0" fontId="14" fillId="0" borderId="0" xfId="0" applyFont="1"/>
    <xf numFmtId="0" fontId="0" fillId="16" borderId="0" xfId="0" applyFill="1"/>
    <xf numFmtId="9" fontId="0" fillId="0" borderId="0" xfId="0" applyNumberFormat="1"/>
    <xf numFmtId="0" fontId="23" fillId="0" borderId="0" xfId="1" applyFont="1" applyFill="1" applyBorder="1" applyAlignment="1">
      <alignment horizontal="left" wrapText="1"/>
    </xf>
    <xf numFmtId="9" fontId="0" fillId="0" borderId="0" xfId="16" applyFont="1"/>
    <xf numFmtId="165" fontId="10" fillId="14" borderId="13" xfId="0" applyNumberFormat="1" applyFont="1" applyFill="1" applyBorder="1" applyAlignment="1">
      <alignment horizontal="center" vertical="center"/>
    </xf>
    <xf numFmtId="165" fontId="10" fillId="14" borderId="6" xfId="0" applyNumberFormat="1" applyFont="1" applyFill="1" applyBorder="1" applyAlignment="1">
      <alignment horizontal="center" vertical="center"/>
    </xf>
    <xf numFmtId="165" fontId="10" fillId="14" borderId="5" xfId="0" applyNumberFormat="1" applyFont="1" applyFill="1" applyBorder="1" applyAlignment="1">
      <alignment horizontal="center" vertical="center"/>
    </xf>
    <xf numFmtId="166" fontId="6" fillId="0" borderId="0" xfId="0" applyNumberFormat="1" applyFont="1"/>
    <xf numFmtId="166" fontId="5" fillId="0" borderId="0" xfId="0" applyNumberFormat="1" applyFont="1"/>
    <xf numFmtId="166" fontId="4" fillId="2" borderId="1" xfId="0" applyNumberFormat="1" applyFont="1" applyFill="1" applyBorder="1" applyAlignment="1">
      <alignment horizontal="left"/>
    </xf>
    <xf numFmtId="166" fontId="4" fillId="2" borderId="4" xfId="0" applyNumberFormat="1" applyFont="1" applyFill="1" applyBorder="1" applyAlignment="1">
      <alignment horizontal="left"/>
    </xf>
    <xf numFmtId="166" fontId="23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3" fillId="4" borderId="3" xfId="1" applyNumberFormat="1" applyFont="1" applyBorder="1" applyAlignment="1">
      <alignment horizontal="center" wrapText="1"/>
    </xf>
    <xf numFmtId="165" fontId="10" fillId="14" borderId="6" xfId="0" applyNumberFormat="1" applyFont="1" applyFill="1" applyBorder="1" applyAlignment="1">
      <alignment horizontal="left" vertical="center"/>
    </xf>
    <xf numFmtId="9" fontId="20" fillId="9" borderId="0" xfId="17" applyFont="1" applyFill="1" applyBorder="1" applyAlignment="1"/>
    <xf numFmtId="9" fontId="20" fillId="9" borderId="11" xfId="17" applyFont="1" applyFill="1" applyBorder="1" applyAlignment="1"/>
    <xf numFmtId="0" fontId="5" fillId="13" borderId="0" xfId="9" applyFill="1"/>
    <xf numFmtId="0" fontId="30" fillId="17" borderId="4" xfId="27" applyFont="1" applyBorder="1" applyAlignment="1">
      <alignment horizontal="center" wrapText="1"/>
    </xf>
    <xf numFmtId="9" fontId="0" fillId="13" borderId="0" xfId="16" applyFont="1" applyFill="1"/>
    <xf numFmtId="2" fontId="29" fillId="18" borderId="0" xfId="27" applyNumberFormat="1" applyFont="1" applyFill="1" applyBorder="1" applyAlignment="1">
      <alignment horizontal="right" wrapText="1"/>
    </xf>
    <xf numFmtId="2" fontId="20" fillId="9" borderId="0" xfId="7" applyNumberFormat="1" applyBorder="1" applyAlignment="1"/>
    <xf numFmtId="2" fontId="0" fillId="14" borderId="0" xfId="0" applyNumberFormat="1" applyFill="1"/>
    <xf numFmtId="165" fontId="10" fillId="14" borderId="0" xfId="0" applyNumberFormat="1" applyFont="1" applyFill="1" applyAlignment="1">
      <alignment horizontal="left" vertical="center"/>
    </xf>
    <xf numFmtId="0" fontId="25" fillId="0" borderId="13" xfId="0" applyFont="1" applyBorder="1" applyAlignment="1">
      <alignment horizontal="center"/>
    </xf>
    <xf numFmtId="0" fontId="4" fillId="12" borderId="13" xfId="0" applyFont="1" applyFill="1" applyBorder="1" applyAlignment="1">
      <alignment wrapText="1"/>
    </xf>
    <xf numFmtId="0" fontId="4" fillId="12" borderId="4" xfId="0" applyFont="1" applyFill="1" applyBorder="1" applyAlignment="1">
      <alignment wrapText="1"/>
    </xf>
    <xf numFmtId="0" fontId="4" fillId="12" borderId="6" xfId="0" applyFont="1" applyFill="1" applyBorder="1" applyAlignment="1">
      <alignment wrapText="1"/>
    </xf>
    <xf numFmtId="0" fontId="23" fillId="4" borderId="0" xfId="1" applyFont="1" applyBorder="1" applyAlignment="1">
      <alignment horizontal="center" wrapText="1"/>
    </xf>
    <xf numFmtId="166" fontId="0" fillId="0" borderId="18" xfId="0" applyNumberFormat="1" applyBorder="1"/>
    <xf numFmtId="0" fontId="0" fillId="0" borderId="19" xfId="0" applyBorder="1"/>
    <xf numFmtId="166" fontId="0" fillId="0" borderId="19" xfId="0" applyNumberFormat="1" applyBorder="1"/>
    <xf numFmtId="2" fontId="0" fillId="15" borderId="19" xfId="0" applyNumberFormat="1" applyFill="1" applyBorder="1"/>
    <xf numFmtId="9" fontId="0" fillId="13" borderId="19" xfId="16" applyFont="1" applyFill="1" applyBorder="1"/>
    <xf numFmtId="0" fontId="5" fillId="13" borderId="19" xfId="9" applyFill="1" applyBorder="1"/>
    <xf numFmtId="0" fontId="0" fillId="13" borderId="20" xfId="0" applyFill="1" applyBorder="1"/>
    <xf numFmtId="166" fontId="0" fillId="0" borderId="21" xfId="0" applyNumberFormat="1" applyBorder="1"/>
    <xf numFmtId="9" fontId="0" fillId="13" borderId="0" xfId="16" applyFont="1" applyFill="1" applyBorder="1"/>
    <xf numFmtId="0" fontId="0" fillId="13" borderId="22" xfId="0" applyFill="1" applyBorder="1"/>
    <xf numFmtId="166" fontId="0" fillId="0" borderId="23" xfId="0" applyNumberFormat="1" applyBorder="1"/>
    <xf numFmtId="0" fontId="0" fillId="0" borderId="24" xfId="0" applyBorder="1"/>
    <xf numFmtId="166" fontId="0" fillId="0" borderId="24" xfId="0" applyNumberFormat="1" applyBorder="1"/>
    <xf numFmtId="2" fontId="0" fillId="15" borderId="24" xfId="0" applyNumberFormat="1" applyFill="1" applyBorder="1"/>
    <xf numFmtId="9" fontId="0" fillId="13" borderId="24" xfId="16" applyFont="1" applyFill="1" applyBorder="1"/>
    <xf numFmtId="0" fontId="5" fillId="13" borderId="24" xfId="9" applyFill="1" applyBorder="1"/>
    <xf numFmtId="0" fontId="0" fillId="13" borderId="25" xfId="0" applyFill="1" applyBorder="1"/>
    <xf numFmtId="2" fontId="5" fillId="0" borderId="0" xfId="9" applyNumberFormat="1"/>
  </cellXfs>
  <cellStyles count="28">
    <cellStyle name="20% - Accent5" xfId="1" builtinId="46"/>
    <cellStyle name="40% - Accent3" xfId="27" builtinId="39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4" xfId="21" xr:uid="{00000000-0005-0000-0000-000015000000}"/>
    <cellStyle name="Percent 4 2" xfId="22" xr:uid="{00000000-0005-0000-0000-000016000000}"/>
    <cellStyle name="Percent 4 3" xfId="23" xr:uid="{00000000-0005-0000-0000-000017000000}"/>
    <cellStyle name="Percent 5" xfId="24" xr:uid="{00000000-0005-0000-0000-000018000000}"/>
    <cellStyle name="Percent 6" xfId="25" xr:uid="{00000000-0005-0000-0000-000019000000}"/>
    <cellStyle name="Standard_Sce_D_Extraction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213" name="Picture 6">
          <a:extLst>
            <a:ext uri="{FF2B5EF4-FFF2-40B4-BE49-F238E27FC236}">
              <a16:creationId xmlns:a16="http://schemas.microsoft.com/office/drawing/2014/main" id="{8CB20699-34AE-481F-A77C-B3B9C019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371475</xdr:colOff>
      <xdr:row>127</xdr:row>
      <xdr:rowOff>133350</xdr:rowOff>
    </xdr:to>
    <xdr:pic>
      <xdr:nvPicPr>
        <xdr:cNvPr id="56214" name="Picture 8">
          <a:extLst>
            <a:ext uri="{FF2B5EF4-FFF2-40B4-BE49-F238E27FC236}">
              <a16:creationId xmlns:a16="http://schemas.microsoft.com/office/drawing/2014/main" id="{ABB9838F-7BCF-4D9E-B2D2-524A7B578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8</xdr:col>
      <xdr:colOff>523875</xdr:colOff>
      <xdr:row>14</xdr:row>
      <xdr:rowOff>38100</xdr:rowOff>
    </xdr:to>
    <xdr:pic>
      <xdr:nvPicPr>
        <xdr:cNvPr id="56215" name="Picture 17">
          <a:extLst>
            <a:ext uri="{FF2B5EF4-FFF2-40B4-BE49-F238E27FC236}">
              <a16:creationId xmlns:a16="http://schemas.microsoft.com/office/drawing/2014/main" id="{8768EF0F-7D26-42A5-8DB1-CBC6850C3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29622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617444</xdr:colOff>
      <xdr:row>34</xdr:row>
      <xdr:rowOff>56029</xdr:rowOff>
    </xdr:from>
    <xdr:to>
      <xdr:col>14</xdr:col>
      <xdr:colOff>200249</xdr:colOff>
      <xdr:row>40</xdr:row>
      <xdr:rowOff>67459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6D51E-B815-4D0B-8BA8-49E6AF1749C3}"/>
            </a:ext>
          </a:extLst>
        </xdr:cNvPr>
        <xdr:cNvSpPr txBox="1"/>
      </xdr:nvSpPr>
      <xdr:spPr>
        <a:xfrm>
          <a:off x="6500532" y="6219264"/>
          <a:ext cx="6664923" cy="10199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25212</xdr:colOff>
      <xdr:row>33</xdr:row>
      <xdr:rowOff>8965</xdr:rowOff>
    </xdr:from>
    <xdr:to>
      <xdr:col>15</xdr:col>
      <xdr:colOff>3847831</xdr:colOff>
      <xdr:row>38</xdr:row>
      <xdr:rowOff>85165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ADC397-DAA8-4C94-ACFD-0BF32CD248CF}"/>
            </a:ext>
          </a:extLst>
        </xdr:cNvPr>
        <xdr:cNvSpPr txBox="1"/>
      </xdr:nvSpPr>
      <xdr:spPr>
        <a:xfrm>
          <a:off x="7555565" y="5961530"/>
          <a:ext cx="5965184" cy="92784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34</xdr:row>
      <xdr:rowOff>0</xdr:rowOff>
    </xdr:from>
    <xdr:to>
      <xdr:col>6</xdr:col>
      <xdr:colOff>420982</xdr:colOff>
      <xdr:row>37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D9DD6-D40E-4399-9509-9FBFC26A5DA0}"/>
            </a:ext>
          </a:extLst>
        </xdr:cNvPr>
        <xdr:cNvSpPr txBox="1"/>
      </xdr:nvSpPr>
      <xdr:spPr>
        <a:xfrm>
          <a:off x="160020" y="6819900"/>
          <a:ext cx="4650082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89917-DA75-46CF-8AF6-E5C40F62C090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18\EnergyBalance.xls" TargetMode="External"/><Relationship Id="rId1" Type="http://schemas.openxmlformats.org/officeDocument/2006/relationships/externalLinkPath" Target="Energy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da\Veda_models\Demo_models\DemoS_012\VT_REG2_IND_V12.xlsx" TargetMode="External"/><Relationship Id="rId1" Type="http://schemas.openxmlformats.org/officeDocument/2006/relationships/externalLinkPath" Target="file:///D:\Veda\Veda_models\Demo_models\DemoS_012\VT_REG2_IND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IND"/>
      <sheetName val="Sector_Fuels"/>
      <sheetName val="DemTechs_IN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O2" t="str">
            <v>BIO</v>
          </cell>
          <cell r="U2" t="str">
            <v>ELC</v>
          </cell>
        </row>
        <row r="3">
          <cell r="D3" t="str">
            <v>Solid Fuels</v>
          </cell>
          <cell r="E3" t="str">
            <v>Natural Gas</v>
          </cell>
          <cell r="O3" t="str">
            <v>Biomass</v>
          </cell>
          <cell r="U3" t="str">
            <v>Electricity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S29"/>
  <sheetViews>
    <sheetView zoomScale="70" zoomScaleNormal="70" workbookViewId="0">
      <selection activeCell="O7" sqref="O7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21" width="10.85546875" customWidth="1"/>
    <col min="22" max="22" width="7.28515625" bestFit="1" customWidth="1"/>
    <col min="23" max="23" width="2" bestFit="1" customWidth="1"/>
    <col min="24" max="24" width="17.28515625" customWidth="1"/>
    <col min="26" max="26" width="6.7109375" bestFit="1" customWidth="1"/>
    <col min="27" max="27" width="9.28515625" bestFit="1" customWidth="1"/>
    <col min="28" max="28" width="2" bestFit="1" customWidth="1"/>
    <col min="29" max="29" width="21.42578125" bestFit="1" customWidth="1"/>
    <col min="30" max="30" width="23.42578125" bestFit="1" customWidth="1"/>
    <col min="31" max="45" width="10.85546875" customWidth="1"/>
  </cols>
  <sheetData>
    <row r="1" spans="2:45" x14ac:dyDescent="0.2">
      <c r="X1" s="21" t="s">
        <v>94</v>
      </c>
      <c r="Y1" s="1" t="s">
        <v>95</v>
      </c>
      <c r="Z1" s="1" t="s">
        <v>96</v>
      </c>
      <c r="AA1" s="1" t="s">
        <v>103</v>
      </c>
    </row>
    <row r="2" spans="2:45" ht="15.75" x14ac:dyDescent="0.25">
      <c r="D2" s="39" t="s">
        <v>44</v>
      </c>
      <c r="E2" s="39" t="s">
        <v>45</v>
      </c>
      <c r="F2" s="39" t="s">
        <v>46</v>
      </c>
      <c r="G2" s="39" t="s">
        <v>123</v>
      </c>
      <c r="H2" s="39" t="s">
        <v>124</v>
      </c>
      <c r="I2" s="39" t="s">
        <v>125</v>
      </c>
      <c r="J2" s="39" t="s">
        <v>126</v>
      </c>
      <c r="K2" s="39" t="s">
        <v>127</v>
      </c>
      <c r="L2" s="39" t="s">
        <v>128</v>
      </c>
      <c r="M2" s="39" t="s">
        <v>129</v>
      </c>
      <c r="N2" s="39" t="s">
        <v>47</v>
      </c>
      <c r="O2" s="39" t="s">
        <v>151</v>
      </c>
      <c r="P2" s="39" t="s">
        <v>152</v>
      </c>
      <c r="Q2" s="39" t="s">
        <v>153</v>
      </c>
      <c r="R2" s="39" t="s">
        <v>154</v>
      </c>
      <c r="S2" s="39" t="s">
        <v>49</v>
      </c>
      <c r="T2" s="39" t="s">
        <v>50</v>
      </c>
      <c r="U2" s="39" t="s">
        <v>51</v>
      </c>
      <c r="V2" s="39" t="s">
        <v>148</v>
      </c>
      <c r="Y2" s="38" t="s">
        <v>160</v>
      </c>
      <c r="Z2" s="10" t="s">
        <v>78</v>
      </c>
      <c r="AA2" s="10" t="s">
        <v>104</v>
      </c>
      <c r="AE2" s="39" t="s">
        <v>44</v>
      </c>
      <c r="AF2" s="39" t="s">
        <v>45</v>
      </c>
      <c r="AG2" s="39" t="s">
        <v>46</v>
      </c>
      <c r="AH2" s="39" t="s">
        <v>123</v>
      </c>
      <c r="AI2" s="39" t="s">
        <v>124</v>
      </c>
      <c r="AJ2" s="39" t="s">
        <v>125</v>
      </c>
      <c r="AK2" s="39" t="s">
        <v>126</v>
      </c>
      <c r="AL2" s="39" t="s">
        <v>127</v>
      </c>
      <c r="AM2" s="39" t="s">
        <v>128</v>
      </c>
      <c r="AN2" s="39" t="s">
        <v>129</v>
      </c>
      <c r="AO2" s="39" t="s">
        <v>47</v>
      </c>
      <c r="AP2" s="39" t="s">
        <v>48</v>
      </c>
      <c r="AQ2" s="39" t="s">
        <v>49</v>
      </c>
      <c r="AR2" s="39" t="s">
        <v>50</v>
      </c>
      <c r="AS2" s="39" t="s">
        <v>51</v>
      </c>
    </row>
    <row r="3" spans="2:45" ht="38.25" x14ac:dyDescent="0.2">
      <c r="C3" s="71" t="s">
        <v>120</v>
      </c>
      <c r="D3" s="40" t="s">
        <v>52</v>
      </c>
      <c r="E3" s="40" t="s">
        <v>53</v>
      </c>
      <c r="F3" s="40" t="s">
        <v>122</v>
      </c>
      <c r="G3" s="40" t="s">
        <v>135</v>
      </c>
      <c r="H3" s="40" t="s">
        <v>132</v>
      </c>
      <c r="I3" s="40" t="s">
        <v>125</v>
      </c>
      <c r="J3" s="40" t="s">
        <v>133</v>
      </c>
      <c r="K3" s="40" t="s">
        <v>134</v>
      </c>
      <c r="L3" s="40" t="s">
        <v>130</v>
      </c>
      <c r="M3" s="40" t="s">
        <v>131</v>
      </c>
      <c r="N3" s="40" t="s">
        <v>54</v>
      </c>
      <c r="O3" s="40" t="s">
        <v>155</v>
      </c>
      <c r="P3" s="40" t="s">
        <v>156</v>
      </c>
      <c r="Q3" s="40" t="s">
        <v>157</v>
      </c>
      <c r="R3" s="40" t="s">
        <v>158</v>
      </c>
      <c r="S3" s="40" t="s">
        <v>56</v>
      </c>
      <c r="T3" s="40" t="s">
        <v>57</v>
      </c>
      <c r="U3" s="40" t="s">
        <v>89</v>
      </c>
      <c r="V3" s="40" t="s">
        <v>58</v>
      </c>
      <c r="AC3" s="21" t="s">
        <v>119</v>
      </c>
      <c r="AD3" s="5"/>
      <c r="AE3" s="40" t="s">
        <v>52</v>
      </c>
      <c r="AF3" s="40" t="s">
        <v>53</v>
      </c>
      <c r="AG3" s="40" t="s">
        <v>122</v>
      </c>
      <c r="AH3" s="40" t="s">
        <v>135</v>
      </c>
      <c r="AI3" s="40" t="s">
        <v>132</v>
      </c>
      <c r="AJ3" s="40" t="s">
        <v>125</v>
      </c>
      <c r="AK3" s="40" t="s">
        <v>133</v>
      </c>
      <c r="AL3" s="40" t="s">
        <v>134</v>
      </c>
      <c r="AM3" s="40" t="s">
        <v>130</v>
      </c>
      <c r="AN3" s="40" t="s">
        <v>131</v>
      </c>
      <c r="AO3" s="40" t="s">
        <v>54</v>
      </c>
      <c r="AP3" s="40" t="s">
        <v>55</v>
      </c>
      <c r="AQ3" s="40" t="s">
        <v>56</v>
      </c>
      <c r="AR3" s="40" t="s">
        <v>57</v>
      </c>
      <c r="AS3" s="40" t="s">
        <v>89</v>
      </c>
    </row>
    <row r="4" spans="2:45" x14ac:dyDescent="0.2">
      <c r="B4" s="37"/>
      <c r="C4" s="86" t="s">
        <v>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7"/>
      <c r="AC4" s="37"/>
      <c r="AD4" s="6" t="s">
        <v>59</v>
      </c>
      <c r="AO4" s="27">
        <v>0</v>
      </c>
    </row>
    <row r="5" spans="2:45" x14ac:dyDescent="0.2">
      <c r="B5" s="41" t="s">
        <v>60</v>
      </c>
      <c r="C5" s="48" t="s">
        <v>61</v>
      </c>
      <c r="D5" s="88">
        <f>[2]EB1!D16</f>
        <v>0</v>
      </c>
      <c r="E5" s="88">
        <f>[2]EB1!E16</f>
        <v>0</v>
      </c>
      <c r="F5" s="88">
        <f>[2]EB1!F16</f>
        <v>0</v>
      </c>
      <c r="G5" s="88">
        <f>[2]EB1!G16</f>
        <v>0</v>
      </c>
      <c r="H5" s="88">
        <f>[2]EB1!H16</f>
        <v>0</v>
      </c>
      <c r="I5" s="88">
        <f>[2]EB1!I16</f>
        <v>8.7784635600000005</v>
      </c>
      <c r="J5" s="88">
        <f>[2]EB1!J16</f>
        <v>0</v>
      </c>
      <c r="K5" s="88">
        <f>[2]EB1!K16</f>
        <v>0</v>
      </c>
      <c r="L5" s="88">
        <f>[2]EB1!L16</f>
        <v>0</v>
      </c>
      <c r="M5" s="88">
        <f>[2]EB1!M16</f>
        <v>0</v>
      </c>
      <c r="N5" s="89">
        <f>[2]EB1!N16</f>
        <v>0</v>
      </c>
      <c r="O5" s="88">
        <f>[2]EB1!O16</f>
        <v>29.606118840000001</v>
      </c>
      <c r="P5" s="88">
        <f>[2]EB1!P16</f>
        <v>0</v>
      </c>
      <c r="Q5" s="88">
        <f>[2]EB1!Q16</f>
        <v>0</v>
      </c>
      <c r="R5" s="88">
        <f>[2]EB1!R16</f>
        <v>0</v>
      </c>
      <c r="S5" s="88">
        <f>[2]EB1!S16</f>
        <v>0</v>
      </c>
      <c r="T5" s="88">
        <f>[2]EB1!T16</f>
        <v>0</v>
      </c>
      <c r="U5" s="88">
        <f>[2]EB1!U16</f>
        <v>15.231997080000001</v>
      </c>
      <c r="V5" s="90">
        <f>SUM(D5:U5)</f>
        <v>53.616579479999999</v>
      </c>
      <c r="AC5" s="41" t="s">
        <v>60</v>
      </c>
      <c r="AD5" s="51" t="s">
        <v>61</v>
      </c>
      <c r="AE5" s="63">
        <v>1</v>
      </c>
      <c r="AF5" s="64">
        <v>0</v>
      </c>
      <c r="AG5" s="64">
        <v>0.3</v>
      </c>
      <c r="AH5" s="64">
        <v>0.3</v>
      </c>
      <c r="AI5" s="64">
        <v>0.3</v>
      </c>
      <c r="AJ5" s="64">
        <v>0.3</v>
      </c>
      <c r="AK5" s="64">
        <v>0.3</v>
      </c>
      <c r="AL5" s="64">
        <v>0.3</v>
      </c>
      <c r="AM5" s="64">
        <v>0.3</v>
      </c>
      <c r="AN5" s="64">
        <v>0.3</v>
      </c>
      <c r="AO5" s="64">
        <v>0</v>
      </c>
      <c r="AP5" s="64">
        <v>1</v>
      </c>
      <c r="AQ5" s="64">
        <v>0.5</v>
      </c>
      <c r="AR5" s="64">
        <v>0.5</v>
      </c>
      <c r="AS5" s="65">
        <v>0.44</v>
      </c>
    </row>
    <row r="6" spans="2:45" x14ac:dyDescent="0.2">
      <c r="B6" s="41" t="s">
        <v>62</v>
      </c>
      <c r="C6" s="49" t="s">
        <v>63</v>
      </c>
      <c r="D6" s="88">
        <f>[2]EB1!D17</f>
        <v>0</v>
      </c>
      <c r="E6" s="88">
        <f>[2]EB1!E17</f>
        <v>0</v>
      </c>
      <c r="F6" s="88">
        <f>[2]EB1!F17</f>
        <v>0</v>
      </c>
      <c r="G6" s="88">
        <f>[2]EB1!G17</f>
        <v>0</v>
      </c>
      <c r="H6" s="88">
        <f>[2]EB1!H17</f>
        <v>0</v>
      </c>
      <c r="I6" s="88">
        <f>[2]EB1!I17</f>
        <v>5.3591040000000003</v>
      </c>
      <c r="J6" s="88">
        <f>[2]EB1!J17</f>
        <v>0</v>
      </c>
      <c r="K6" s="88">
        <f>[2]EB1!K17</f>
        <v>0</v>
      </c>
      <c r="L6" s="88">
        <f>[2]EB1!L17</f>
        <v>0</v>
      </c>
      <c r="M6" s="88">
        <f>[2]EB1!M17</f>
        <v>2.0264112000000001E-2</v>
      </c>
      <c r="N6" s="89">
        <f>[2]EB1!N17</f>
        <v>0</v>
      </c>
      <c r="O6" s="88">
        <f>[2]EB1!O17</f>
        <v>0</v>
      </c>
      <c r="P6" s="88">
        <f>[2]EB1!P17</f>
        <v>0</v>
      </c>
      <c r="Q6" s="88">
        <f>[2]EB1!Q17</f>
        <v>0</v>
      </c>
      <c r="R6" s="88">
        <f>[2]EB1!R17</f>
        <v>0</v>
      </c>
      <c r="S6" s="88">
        <f>[2]EB1!S17</f>
        <v>0</v>
      </c>
      <c r="T6" s="88">
        <f>[2]EB1!T17</f>
        <v>0</v>
      </c>
      <c r="U6" s="88">
        <f>[2]EB1!U17</f>
        <v>11.973410640000001</v>
      </c>
      <c r="V6" s="90">
        <f t="shared" ref="V6:V12" si="0">SUM(D6:U6)</f>
        <v>17.352778751999999</v>
      </c>
      <c r="AC6" s="41" t="s">
        <v>62</v>
      </c>
      <c r="AD6" s="52" t="s">
        <v>63</v>
      </c>
      <c r="AE6" s="66">
        <v>1</v>
      </c>
      <c r="AF6" s="67">
        <v>0</v>
      </c>
      <c r="AG6" s="67">
        <v>0.3</v>
      </c>
      <c r="AH6" s="67">
        <v>0.3</v>
      </c>
      <c r="AI6" s="67">
        <v>0.3</v>
      </c>
      <c r="AJ6" s="67">
        <v>0.3</v>
      </c>
      <c r="AK6" s="67">
        <v>0.3</v>
      </c>
      <c r="AL6" s="67">
        <v>0.3</v>
      </c>
      <c r="AM6" s="67">
        <v>0.3</v>
      </c>
      <c r="AN6" s="67">
        <v>0.3</v>
      </c>
      <c r="AO6" s="67">
        <v>0</v>
      </c>
      <c r="AP6" s="67">
        <v>1</v>
      </c>
      <c r="AQ6" s="67">
        <v>0.5</v>
      </c>
      <c r="AR6" s="67">
        <v>0.5</v>
      </c>
      <c r="AS6" s="68">
        <v>0.44</v>
      </c>
    </row>
    <row r="7" spans="2:45" ht="15" x14ac:dyDescent="0.25">
      <c r="B7" s="41" t="s">
        <v>64</v>
      </c>
      <c r="C7" s="49" t="s">
        <v>65</v>
      </c>
      <c r="D7" s="121">
        <f>[2]EB1!D18</f>
        <v>20.32984476</v>
      </c>
      <c r="E7" s="121">
        <f>[2]EB1!E18</f>
        <v>0</v>
      </c>
      <c r="F7" s="121">
        <f>[2]EB1!F18</f>
        <v>0</v>
      </c>
      <c r="G7" s="121">
        <f>[2]EB1!G18</f>
        <v>9.3960165599999996</v>
      </c>
      <c r="H7" s="121">
        <f>[2]EB1!H18</f>
        <v>0</v>
      </c>
      <c r="I7" s="121">
        <f>[2]EB1!I18</f>
        <v>2.8470240000000004E-2</v>
      </c>
      <c r="J7" s="121">
        <f>[2]EB1!J18</f>
        <v>0</v>
      </c>
      <c r="K7" s="121">
        <f>[2]EB1!K18</f>
        <v>0</v>
      </c>
      <c r="L7" s="121">
        <f>[2]EB1!L18</f>
        <v>5.0660280000000002E-2</v>
      </c>
      <c r="M7" s="121">
        <f>[2]EB1!M18</f>
        <v>0</v>
      </c>
      <c r="N7" s="121">
        <f>[2]EB1!N18</f>
        <v>0</v>
      </c>
      <c r="O7" s="121">
        <f>[2]EB1!O18</f>
        <v>60.016103280000003</v>
      </c>
      <c r="P7" s="121">
        <f>[2]EB1!P18</f>
        <v>0</v>
      </c>
      <c r="Q7" s="121">
        <f>[2]EB1!Q18</f>
        <v>0</v>
      </c>
      <c r="R7" s="121">
        <f>[2]EB1!R18</f>
        <v>0</v>
      </c>
      <c r="S7" s="122">
        <f>[2]EB1!S18</f>
        <v>0</v>
      </c>
      <c r="T7" s="122">
        <f>[2]EB1!T18</f>
        <v>0</v>
      </c>
      <c r="U7" s="121">
        <f>[2]EB1!U18</f>
        <v>15.341691240000001</v>
      </c>
      <c r="V7" s="90">
        <f>SUM(D7:U7)</f>
        <v>105.16278636</v>
      </c>
      <c r="X7" s="7"/>
      <c r="AC7" s="41" t="s">
        <v>64</v>
      </c>
      <c r="AD7" s="52" t="s">
        <v>65</v>
      </c>
      <c r="AE7" s="70">
        <v>1</v>
      </c>
      <c r="AF7" s="57">
        <v>0</v>
      </c>
      <c r="AG7" s="57">
        <v>0.3</v>
      </c>
      <c r="AH7" s="57">
        <v>0.3</v>
      </c>
      <c r="AI7" s="57">
        <v>0.3</v>
      </c>
      <c r="AJ7" s="57">
        <v>0.3</v>
      </c>
      <c r="AK7" s="57">
        <v>0.3</v>
      </c>
      <c r="AL7" s="57">
        <v>0.3</v>
      </c>
      <c r="AM7" s="57">
        <v>0.3</v>
      </c>
      <c r="AN7" s="57">
        <v>0.3</v>
      </c>
      <c r="AO7" s="67">
        <v>0</v>
      </c>
      <c r="AP7" s="57">
        <v>1</v>
      </c>
      <c r="AQ7" s="67">
        <v>0.5</v>
      </c>
      <c r="AR7" s="67">
        <v>0.5</v>
      </c>
      <c r="AS7" s="97">
        <v>0.44</v>
      </c>
    </row>
    <row r="8" spans="2:45" x14ac:dyDescent="0.2">
      <c r="B8" s="41" t="s">
        <v>66</v>
      </c>
      <c r="C8" s="49" t="s">
        <v>67</v>
      </c>
      <c r="D8" s="88">
        <f>[2]EB1!D19</f>
        <v>0</v>
      </c>
      <c r="E8" s="88">
        <f>[2]EB1!E19</f>
        <v>0</v>
      </c>
      <c r="F8" s="88">
        <f>[2]EB1!F19</f>
        <v>0</v>
      </c>
      <c r="G8" s="88">
        <f>[2]EB1!G19</f>
        <v>8.9932464000000003</v>
      </c>
      <c r="H8" s="88">
        <f>[2]EB1!H19</f>
        <v>0</v>
      </c>
      <c r="I8" s="88">
        <f>[2]EB1!I19</f>
        <v>0</v>
      </c>
      <c r="J8" s="88">
        <f>[2]EB1!J19</f>
        <v>0</v>
      </c>
      <c r="K8" s="88">
        <f>[2]EB1!K19</f>
        <v>0</v>
      </c>
      <c r="L8" s="88">
        <f>[2]EB1!L19</f>
        <v>0</v>
      </c>
      <c r="M8" s="88">
        <f>[2]EB1!M19</f>
        <v>0</v>
      </c>
      <c r="N8" s="89">
        <f>[2]EB1!N19</f>
        <v>0</v>
      </c>
      <c r="O8" s="88">
        <f>[2]EB1!O19</f>
        <v>0</v>
      </c>
      <c r="P8" s="88">
        <f>[2]EB1!P19</f>
        <v>0</v>
      </c>
      <c r="Q8" s="88">
        <f>[2]EB1!Q19</f>
        <v>0</v>
      </c>
      <c r="R8" s="88">
        <f>[2]EB1!R19</f>
        <v>0</v>
      </c>
      <c r="S8" s="88">
        <f>[2]EB1!S19</f>
        <v>4.1868000000000006E-5</v>
      </c>
      <c r="T8" s="88">
        <f>[2]EB1!T19</f>
        <v>0</v>
      </c>
      <c r="U8" s="88">
        <f>[2]EB1!U19</f>
        <v>0</v>
      </c>
      <c r="V8" s="90">
        <f t="shared" si="0"/>
        <v>8.9932882680000006</v>
      </c>
      <c r="AC8" s="41" t="s">
        <v>66</v>
      </c>
      <c r="AD8" s="52" t="s">
        <v>67</v>
      </c>
      <c r="AE8" s="66">
        <v>1</v>
      </c>
      <c r="AF8" s="67">
        <v>0</v>
      </c>
      <c r="AG8" s="67">
        <v>0.3</v>
      </c>
      <c r="AH8" s="67">
        <v>0.3</v>
      </c>
      <c r="AI8" s="67">
        <v>0.3</v>
      </c>
      <c r="AJ8" s="67">
        <v>0.3</v>
      </c>
      <c r="AK8" s="67">
        <v>0.3</v>
      </c>
      <c r="AL8" s="67">
        <v>0.3</v>
      </c>
      <c r="AM8" s="67">
        <v>0.3</v>
      </c>
      <c r="AN8" s="67">
        <v>0.3</v>
      </c>
      <c r="AO8" s="67">
        <v>0</v>
      </c>
      <c r="AP8" s="67">
        <v>1</v>
      </c>
      <c r="AQ8" s="67">
        <v>0.5</v>
      </c>
      <c r="AR8" s="67">
        <v>0.5</v>
      </c>
      <c r="AS8" s="68">
        <v>0.44</v>
      </c>
    </row>
    <row r="9" spans="2:45" x14ac:dyDescent="0.2">
      <c r="B9" s="41" t="s">
        <v>68</v>
      </c>
      <c r="C9" s="49" t="s">
        <v>69</v>
      </c>
      <c r="D9" s="88">
        <f>[2]EB1!D20</f>
        <v>0</v>
      </c>
      <c r="E9" s="88">
        <f>[2]EB1!E20</f>
        <v>0</v>
      </c>
      <c r="F9" s="88">
        <f>[2]EB1!F20</f>
        <v>0</v>
      </c>
      <c r="G9" s="88">
        <f>[2]EB1!G20</f>
        <v>59.234009040000004</v>
      </c>
      <c r="H9" s="88">
        <f>[2]EB1!H20</f>
        <v>2.9927246400000005</v>
      </c>
      <c r="I9" s="88">
        <f>[2]EB1!I20</f>
        <v>1.2346873199999999</v>
      </c>
      <c r="J9" s="88">
        <f>[2]EB1!J20</f>
        <v>28.510014600000005</v>
      </c>
      <c r="K9" s="88">
        <f>[2]EB1!K20</f>
        <v>0</v>
      </c>
      <c r="L9" s="88">
        <f>[2]EB1!L20</f>
        <v>1.2556213199999999</v>
      </c>
      <c r="M9" s="88">
        <f>[2]EB1!M20</f>
        <v>8.1692841600000001</v>
      </c>
      <c r="N9" s="89">
        <f>[2]EB1!N20</f>
        <v>0</v>
      </c>
      <c r="O9" s="88">
        <f>[2]EB1!O20</f>
        <v>0</v>
      </c>
      <c r="P9" s="88">
        <f>[2]EB1!P20</f>
        <v>0</v>
      </c>
      <c r="Q9" s="88">
        <f>[2]EB1!Q20</f>
        <v>0</v>
      </c>
      <c r="R9" s="88">
        <f>[2]EB1!R20</f>
        <v>0</v>
      </c>
      <c r="S9" s="88">
        <f>[2]EB1!S20</f>
        <v>0</v>
      </c>
      <c r="T9" s="88">
        <f>[2]EB1!T20</f>
        <v>0</v>
      </c>
      <c r="U9" s="88">
        <f>[2]EB1!U20</f>
        <v>0</v>
      </c>
      <c r="V9" s="90">
        <f t="shared" si="0"/>
        <v>101.39634108000001</v>
      </c>
      <c r="AC9" s="41" t="s">
        <v>68</v>
      </c>
      <c r="AD9" s="52" t="s">
        <v>69</v>
      </c>
      <c r="AE9" s="66">
        <v>1</v>
      </c>
      <c r="AF9" s="67">
        <v>0</v>
      </c>
      <c r="AG9" s="67">
        <v>0.3</v>
      </c>
      <c r="AH9" s="67">
        <v>0.3</v>
      </c>
      <c r="AI9" s="67">
        <v>0.3</v>
      </c>
      <c r="AJ9" s="67">
        <v>0.3</v>
      </c>
      <c r="AK9" s="67">
        <v>0.3</v>
      </c>
      <c r="AL9" s="67">
        <v>0.3</v>
      </c>
      <c r="AM9" s="67">
        <v>0.3</v>
      </c>
      <c r="AN9" s="67">
        <v>0.3</v>
      </c>
      <c r="AO9" s="67">
        <v>0</v>
      </c>
      <c r="AP9" s="67">
        <v>1</v>
      </c>
      <c r="AQ9" s="67">
        <v>0.5</v>
      </c>
      <c r="AR9" s="67">
        <v>0.5</v>
      </c>
      <c r="AS9" s="68">
        <v>0.44</v>
      </c>
    </row>
    <row r="10" spans="2:45" x14ac:dyDescent="0.2">
      <c r="B10" s="41" t="s">
        <v>70</v>
      </c>
      <c r="C10" s="50" t="s">
        <v>71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91">
        <f t="shared" si="0"/>
        <v>9.4588185599999992</v>
      </c>
      <c r="AC10" s="41" t="s">
        <v>70</v>
      </c>
      <c r="AD10" s="53" t="s">
        <v>71</v>
      </c>
      <c r="AE10" s="61">
        <v>1</v>
      </c>
      <c r="AF10" s="62">
        <v>0</v>
      </c>
      <c r="AG10" s="62">
        <v>0.3</v>
      </c>
      <c r="AH10" s="62">
        <v>0.3</v>
      </c>
      <c r="AI10" s="62">
        <v>0.3</v>
      </c>
      <c r="AJ10" s="62">
        <v>0.3</v>
      </c>
      <c r="AK10" s="62">
        <v>0.3</v>
      </c>
      <c r="AL10" s="62">
        <v>0.3</v>
      </c>
      <c r="AM10" s="62">
        <v>0.3</v>
      </c>
      <c r="AN10" s="62">
        <v>0.3</v>
      </c>
      <c r="AO10" s="62">
        <v>0</v>
      </c>
      <c r="AP10" s="62">
        <v>1</v>
      </c>
      <c r="AQ10" s="62">
        <v>0.5</v>
      </c>
      <c r="AR10" s="62">
        <v>0.5</v>
      </c>
      <c r="AS10" s="69">
        <v>0.44</v>
      </c>
    </row>
    <row r="11" spans="2:45" x14ac:dyDescent="0.2">
      <c r="B11" s="41" t="s">
        <v>87</v>
      </c>
      <c r="C11" s="49" t="s">
        <v>72</v>
      </c>
      <c r="D11" s="88">
        <f>[2]EB1!D22</f>
        <v>0</v>
      </c>
      <c r="E11" s="88">
        <f>[2]EB1!E22</f>
        <v>0</v>
      </c>
      <c r="F11" s="88">
        <f>[2]EB1!F22</f>
        <v>0</v>
      </c>
      <c r="G11" s="88">
        <f>[2]EB1!G22</f>
        <v>0</v>
      </c>
      <c r="H11" s="88">
        <f>[2]EB1!H22</f>
        <v>0</v>
      </c>
      <c r="I11" s="88">
        <f>[2]EB1!I22</f>
        <v>0</v>
      </c>
      <c r="J11" s="88">
        <f>[2]EB1!J22</f>
        <v>0</v>
      </c>
      <c r="K11" s="88">
        <f>[2]EB1!K22</f>
        <v>0</v>
      </c>
      <c r="L11" s="88">
        <f>[2]EB1!L22</f>
        <v>0</v>
      </c>
      <c r="M11" s="88">
        <f>[2]EB1!M22</f>
        <v>0</v>
      </c>
      <c r="N11" s="89">
        <f>[2]EB1!N22</f>
        <v>0</v>
      </c>
      <c r="O11" s="88">
        <f>[2]EB1!O22</f>
        <v>0</v>
      </c>
      <c r="P11" s="88">
        <f>[2]EB1!P22</f>
        <v>0</v>
      </c>
      <c r="Q11" s="88">
        <f>[2]EB1!Q22</f>
        <v>0</v>
      </c>
      <c r="R11" s="88">
        <f>[2]EB1!R22</f>
        <v>0</v>
      </c>
      <c r="S11" s="88">
        <f>[2]EB1!S22</f>
        <v>0</v>
      </c>
      <c r="T11" s="88">
        <f>[2]EB1!T22</f>
        <v>0</v>
      </c>
      <c r="U11" s="88">
        <f>[2]EB1!U22</f>
        <v>0</v>
      </c>
      <c r="V11" s="90">
        <f t="shared" si="0"/>
        <v>0</v>
      </c>
      <c r="AC11" s="41" t="s">
        <v>87</v>
      </c>
      <c r="AD11" s="52" t="s">
        <v>72</v>
      </c>
      <c r="AE11" s="66">
        <v>1</v>
      </c>
      <c r="AF11" s="67">
        <v>0</v>
      </c>
      <c r="AG11" s="67">
        <v>0.3</v>
      </c>
      <c r="AH11" s="67">
        <v>0.3</v>
      </c>
      <c r="AI11" s="67">
        <v>0.3</v>
      </c>
      <c r="AJ11" s="67">
        <v>0.3</v>
      </c>
      <c r="AK11" s="67">
        <v>0.3</v>
      </c>
      <c r="AL11" s="67">
        <v>0.3</v>
      </c>
      <c r="AM11" s="67">
        <v>0.3</v>
      </c>
      <c r="AN11" s="67">
        <v>0.3</v>
      </c>
      <c r="AO11" s="67">
        <v>0</v>
      </c>
      <c r="AP11" s="67">
        <v>1</v>
      </c>
      <c r="AQ11" s="67">
        <v>0.5</v>
      </c>
      <c r="AR11" s="67">
        <v>0.5</v>
      </c>
      <c r="AS11" s="68">
        <v>0.44</v>
      </c>
    </row>
    <row r="12" spans="2:45" x14ac:dyDescent="0.2">
      <c r="B12" s="41" t="s">
        <v>88</v>
      </c>
      <c r="C12" s="49" t="s">
        <v>73</v>
      </c>
      <c r="D12" s="88">
        <f>[2]EB1!D23</f>
        <v>0</v>
      </c>
      <c r="E12" s="88">
        <f>[2]EB1!E23</f>
        <v>0</v>
      </c>
      <c r="F12" s="88">
        <f>[2]EB1!F23</f>
        <v>0</v>
      </c>
      <c r="G12" s="88">
        <f>[2]EB1!G23</f>
        <v>0</v>
      </c>
      <c r="H12" s="88">
        <f>[2]EB1!H23</f>
        <v>0</v>
      </c>
      <c r="I12" s="88">
        <f>[2]EB1!I23</f>
        <v>0</v>
      </c>
      <c r="J12" s="88">
        <f>[2]EB1!J23</f>
        <v>0</v>
      </c>
      <c r="K12" s="88">
        <f>[2]EB1!K23</f>
        <v>0</v>
      </c>
      <c r="L12" s="88">
        <f>[2]EB1!L23</f>
        <v>0</v>
      </c>
      <c r="M12" s="88">
        <f>[2]EB1!M23</f>
        <v>0</v>
      </c>
      <c r="N12" s="89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88">
        <f>[2]EB1!S23</f>
        <v>0</v>
      </c>
      <c r="T12" s="88">
        <f>[2]EB1!T23</f>
        <v>0</v>
      </c>
      <c r="U12" s="88">
        <f>[2]EB1!U23</f>
        <v>0</v>
      </c>
      <c r="V12" s="90">
        <f t="shared" si="0"/>
        <v>0</v>
      </c>
      <c r="AC12" s="41" t="s">
        <v>88</v>
      </c>
      <c r="AD12" s="52" t="s">
        <v>73</v>
      </c>
      <c r="AE12" s="66">
        <v>1</v>
      </c>
      <c r="AF12" s="67">
        <v>0</v>
      </c>
      <c r="AG12" s="67">
        <v>0.3</v>
      </c>
      <c r="AH12" s="67">
        <v>0.3</v>
      </c>
      <c r="AI12" s="67">
        <v>0.3</v>
      </c>
      <c r="AJ12" s="67">
        <v>0.3</v>
      </c>
      <c r="AK12" s="67">
        <v>0.3</v>
      </c>
      <c r="AL12" s="67">
        <v>0.3</v>
      </c>
      <c r="AM12" s="67">
        <v>0.3</v>
      </c>
      <c r="AN12" s="67">
        <v>0.3</v>
      </c>
      <c r="AO12" s="67">
        <v>0</v>
      </c>
      <c r="AP12" s="67">
        <v>1</v>
      </c>
      <c r="AQ12" s="67">
        <v>0.5</v>
      </c>
      <c r="AR12" s="67">
        <v>0.5</v>
      </c>
      <c r="AS12" s="68">
        <v>0.44</v>
      </c>
    </row>
    <row r="13" spans="2:45" ht="15" x14ac:dyDescent="0.25">
      <c r="B13" s="85" t="s">
        <v>90</v>
      </c>
      <c r="C13" s="47" t="s">
        <v>146</v>
      </c>
      <c r="D13" s="45">
        <f t="shared" ref="D13:V13" si="1">SUM(D5:D12)</f>
        <v>20.32984476</v>
      </c>
      <c r="E13" s="45">
        <f t="shared" si="1"/>
        <v>0</v>
      </c>
      <c r="F13" s="45"/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  <c r="AC13" s="41" t="s">
        <v>90</v>
      </c>
      <c r="AD13" s="58"/>
      <c r="AE13" s="58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0"/>
    </row>
    <row r="14" spans="2:45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45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45" ht="15" x14ac:dyDescent="0.25">
      <c r="C16" s="44" t="s">
        <v>141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">
      <c r="C18" s="1"/>
      <c r="D18" s="22"/>
    </row>
    <row r="19" spans="2:24" ht="38.25" x14ac:dyDescent="0.2">
      <c r="B19" s="23" t="s">
        <v>102</v>
      </c>
      <c r="C19" s="124" t="s">
        <v>115</v>
      </c>
      <c r="D19" s="125" t="s">
        <v>52</v>
      </c>
      <c r="E19" s="126" t="s">
        <v>53</v>
      </c>
      <c r="F19" s="126" t="s">
        <v>122</v>
      </c>
      <c r="G19" s="126" t="s">
        <v>135</v>
      </c>
      <c r="H19" s="126" t="s">
        <v>132</v>
      </c>
      <c r="I19" s="126" t="s">
        <v>125</v>
      </c>
      <c r="J19" s="126" t="s">
        <v>133</v>
      </c>
      <c r="K19" s="126" t="s">
        <v>134</v>
      </c>
      <c r="L19" s="126" t="s">
        <v>130</v>
      </c>
      <c r="M19" s="126" t="s">
        <v>131</v>
      </c>
      <c r="N19" s="126" t="s">
        <v>54</v>
      </c>
      <c r="O19" s="126" t="s">
        <v>155</v>
      </c>
      <c r="P19" s="126" t="s">
        <v>156</v>
      </c>
      <c r="Q19" s="126" t="s">
        <v>157</v>
      </c>
      <c r="R19" s="126" t="s">
        <v>158</v>
      </c>
      <c r="S19" s="126" t="s">
        <v>56</v>
      </c>
      <c r="T19" s="126" t="s">
        <v>57</v>
      </c>
      <c r="U19" s="126" t="s">
        <v>89</v>
      </c>
      <c r="V19" s="127" t="s">
        <v>58</v>
      </c>
    </row>
    <row r="20" spans="2:24" ht="15" x14ac:dyDescent="0.25">
      <c r="B20" s="96" t="s">
        <v>64</v>
      </c>
      <c r="C20" s="93" t="s">
        <v>165</v>
      </c>
      <c r="D20" s="116">
        <v>1</v>
      </c>
      <c r="E20" s="123"/>
      <c r="F20" s="123"/>
      <c r="G20" s="123"/>
      <c r="H20" s="123"/>
      <c r="I20" s="123"/>
      <c r="J20" s="123"/>
      <c r="K20" s="123"/>
      <c r="L20" s="115">
        <v>1</v>
      </c>
      <c r="M20" s="123"/>
      <c r="N20" s="123"/>
      <c r="O20" s="115">
        <v>1</v>
      </c>
      <c r="P20" s="123"/>
      <c r="Q20" s="123"/>
      <c r="R20" s="123"/>
      <c r="S20" s="123"/>
      <c r="T20" s="123"/>
      <c r="U20" s="115">
        <v>0.05</v>
      </c>
      <c r="V20" s="49"/>
      <c r="X20" s="114" t="s">
        <v>167</v>
      </c>
    </row>
    <row r="21" spans="2:24" ht="15" x14ac:dyDescent="0.25">
      <c r="B21" s="96" t="s">
        <v>64</v>
      </c>
      <c r="C21" s="93" t="s">
        <v>181</v>
      </c>
      <c r="D21" s="52"/>
      <c r="E21" s="123"/>
      <c r="F21" s="123"/>
      <c r="G21" s="115">
        <v>1</v>
      </c>
      <c r="H21" s="123"/>
      <c r="I21" s="115">
        <v>1</v>
      </c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15">
        <v>0.2</v>
      </c>
      <c r="V21" s="49"/>
      <c r="X21" s="114" t="s">
        <v>182</v>
      </c>
    </row>
    <row r="22" spans="2:24" ht="15" x14ac:dyDescent="0.25">
      <c r="B22" s="96" t="s">
        <v>64</v>
      </c>
      <c r="C22" s="93" t="s">
        <v>166</v>
      </c>
      <c r="D22" s="5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15">
        <v>0.2</v>
      </c>
      <c r="V22" s="49"/>
      <c r="X22" s="114" t="s">
        <v>168</v>
      </c>
    </row>
    <row r="23" spans="2:24" ht="15" x14ac:dyDescent="0.25">
      <c r="B23" s="96" t="s">
        <v>64</v>
      </c>
      <c r="C23" s="93" t="s">
        <v>169</v>
      </c>
      <c r="D23" s="5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15">
        <v>0.25</v>
      </c>
      <c r="V23" s="49"/>
      <c r="X23" s="50" t="s">
        <v>170</v>
      </c>
    </row>
    <row r="24" spans="2:24" ht="15" x14ac:dyDescent="0.25">
      <c r="B24" s="96" t="s">
        <v>64</v>
      </c>
      <c r="C24" s="93" t="s">
        <v>171</v>
      </c>
      <c r="D24" s="5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15">
        <v>0.3</v>
      </c>
      <c r="V24" s="49"/>
      <c r="X24" s="114" t="s">
        <v>172</v>
      </c>
    </row>
    <row r="27" spans="2:24" x14ac:dyDescent="0.2">
      <c r="C27" s="54" t="s">
        <v>106</v>
      </c>
      <c r="D27" s="56" t="s">
        <v>107</v>
      </c>
      <c r="E27" s="55" t="s">
        <v>108</v>
      </c>
    </row>
    <row r="28" spans="2:24" x14ac:dyDescent="0.2">
      <c r="B28" s="21" t="s">
        <v>116</v>
      </c>
      <c r="C28" s="94" t="s">
        <v>109</v>
      </c>
      <c r="D28" s="94" t="s">
        <v>110</v>
      </c>
      <c r="E28" s="95" t="s">
        <v>108</v>
      </c>
    </row>
    <row r="29" spans="2:24" x14ac:dyDescent="0.2">
      <c r="B29" s="41" t="s">
        <v>64</v>
      </c>
      <c r="C29" s="103">
        <v>1</v>
      </c>
      <c r="D29" s="104"/>
      <c r="E29" s="105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"/>
  <sheetViews>
    <sheetView zoomScaleNormal="100" workbookViewId="0">
      <selection activeCell="E33" sqref="E33"/>
    </sheetView>
  </sheetViews>
  <sheetFormatPr defaultRowHeight="12.75" x14ac:dyDescent="0.2"/>
  <cols>
    <col min="1" max="1" width="1.85546875" customWidth="1"/>
    <col min="2" max="2" width="7.7109375" customWidth="1"/>
    <col min="3" max="4" width="6.85546875" customWidth="1"/>
  </cols>
  <sheetData>
    <row r="2" spans="2:10" ht="18" x14ac:dyDescent="0.25">
      <c r="B2" s="79" t="s">
        <v>145</v>
      </c>
    </row>
    <row r="4" spans="2:10" ht="18" x14ac:dyDescent="0.25">
      <c r="E4" s="98"/>
      <c r="F4" s="98"/>
      <c r="G4" s="98"/>
      <c r="H4" s="98"/>
      <c r="I4" s="98"/>
      <c r="J4" s="98"/>
    </row>
    <row r="5" spans="2:10" ht="12.75" customHeight="1" x14ac:dyDescent="0.2">
      <c r="E5" s="80" t="s">
        <v>150</v>
      </c>
      <c r="F5" s="80"/>
      <c r="G5" s="80"/>
      <c r="H5" s="80"/>
      <c r="I5" s="99"/>
      <c r="J5" s="9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topLeftCell="B5" zoomScale="145" zoomScaleNormal="145" workbookViewId="0">
      <selection activeCell="F31" sqref="F31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75</v>
      </c>
      <c r="C1" s="8" t="s">
        <v>76</v>
      </c>
      <c r="D1" s="8" t="s">
        <v>77</v>
      </c>
      <c r="E1" s="8" t="s">
        <v>113</v>
      </c>
      <c r="F1" s="8" t="s">
        <v>95</v>
      </c>
      <c r="G1" s="8" t="s">
        <v>100</v>
      </c>
      <c r="H1" s="30"/>
    </row>
    <row r="2" spans="2:18" ht="15.75" x14ac:dyDescent="0.25">
      <c r="B2" s="10" t="str">
        <f>'EB1'!B7</f>
        <v>IND</v>
      </c>
      <c r="C2" s="10" t="str">
        <f>'EB1'!C7</f>
        <v>Industry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6" t="s">
        <v>14</v>
      </c>
      <c r="K2" s="106"/>
      <c r="L2" s="107"/>
      <c r="M2" s="107"/>
      <c r="N2" s="107"/>
      <c r="O2" s="107"/>
      <c r="P2" s="107"/>
      <c r="Q2" s="107"/>
      <c r="R2" s="107"/>
    </row>
    <row r="3" spans="2:18" x14ac:dyDescent="0.2">
      <c r="J3" s="108" t="s">
        <v>7</v>
      </c>
      <c r="K3" s="109" t="s">
        <v>30</v>
      </c>
      <c r="L3" s="108" t="s">
        <v>0</v>
      </c>
      <c r="M3" s="108" t="s">
        <v>3</v>
      </c>
      <c r="N3" s="108" t="s">
        <v>4</v>
      </c>
      <c r="O3" s="108" t="s">
        <v>8</v>
      </c>
      <c r="P3" s="108" t="s">
        <v>9</v>
      </c>
      <c r="Q3" s="108" t="s">
        <v>10</v>
      </c>
      <c r="R3" s="108" t="s">
        <v>12</v>
      </c>
    </row>
    <row r="4" spans="2:18" ht="24" thickBot="1" x14ac:dyDescent="0.3">
      <c r="B4" s="9"/>
      <c r="C4" s="9"/>
      <c r="D4" s="9"/>
      <c r="E4" s="9"/>
      <c r="G4" s="9"/>
      <c r="J4" s="110" t="s">
        <v>37</v>
      </c>
      <c r="K4" s="110" t="s">
        <v>31</v>
      </c>
      <c r="L4" s="110" t="s">
        <v>26</v>
      </c>
      <c r="M4" s="110" t="s">
        <v>27</v>
      </c>
      <c r="N4" s="110" t="s">
        <v>4</v>
      </c>
      <c r="O4" s="110" t="s">
        <v>40</v>
      </c>
      <c r="P4" s="110" t="s">
        <v>41</v>
      </c>
      <c r="Q4" s="110" t="s">
        <v>28</v>
      </c>
      <c r="R4" s="110" t="s">
        <v>29</v>
      </c>
    </row>
    <row r="5" spans="2:18" x14ac:dyDescent="0.2">
      <c r="E5" s="12"/>
      <c r="F5" s="12"/>
      <c r="G5" s="78"/>
      <c r="H5" s="11"/>
      <c r="J5" s="111" t="s">
        <v>74</v>
      </c>
      <c r="K5" s="111"/>
      <c r="L5" s="111" t="str">
        <f>$B$2&amp;[3]EB2!$D$2</f>
        <v>INDCOA</v>
      </c>
      <c r="M5" s="112" t="str">
        <f>$C$2&amp;" "&amp;[3]EB2!$D$3</f>
        <v>Industry Solid Fuels</v>
      </c>
      <c r="N5" s="111" t="str">
        <f>$E$2</f>
        <v>PJ</v>
      </c>
      <c r="O5" s="111"/>
      <c r="P5" s="111"/>
      <c r="Q5" s="111"/>
      <c r="R5" s="111"/>
    </row>
    <row r="6" spans="2:18" x14ac:dyDescent="0.2">
      <c r="E6" s="12"/>
      <c r="F6" s="12"/>
      <c r="G6" s="78"/>
      <c r="H6" s="11"/>
      <c r="J6" s="111"/>
      <c r="K6" s="111"/>
      <c r="L6" s="111" t="str">
        <f>$B$2&amp;[3]EB2!$E$2</f>
        <v>INDGAS</v>
      </c>
      <c r="M6" s="112" t="str">
        <f>$C$2&amp;" "&amp;[3]EB2!$E$3</f>
        <v>Industry Natural Gas</v>
      </c>
      <c r="N6" s="111" t="str">
        <f>$E$2</f>
        <v>PJ</v>
      </c>
      <c r="O6" s="111"/>
      <c r="P6" s="111"/>
      <c r="Q6" s="111"/>
      <c r="R6" s="111"/>
    </row>
    <row r="7" spans="2:18" x14ac:dyDescent="0.2">
      <c r="E7" s="12"/>
      <c r="F7" s="12"/>
      <c r="G7" s="78"/>
      <c r="H7" s="11"/>
      <c r="J7" s="111"/>
      <c r="K7" s="111"/>
      <c r="L7" s="111" t="s">
        <v>185</v>
      </c>
      <c r="M7" s="112" t="s">
        <v>186</v>
      </c>
      <c r="N7" s="111" t="str">
        <f>$E$2</f>
        <v>PJ</v>
      </c>
      <c r="O7" s="111"/>
      <c r="P7" s="111"/>
      <c r="Q7" s="111"/>
      <c r="R7" s="111"/>
    </row>
    <row r="8" spans="2:18" x14ac:dyDescent="0.2">
      <c r="E8" s="12"/>
      <c r="F8" s="12"/>
      <c r="G8" s="78"/>
      <c r="H8" s="11"/>
      <c r="J8" s="111"/>
      <c r="K8" s="111"/>
      <c r="L8" s="111" t="s">
        <v>183</v>
      </c>
      <c r="M8" s="112" t="s">
        <v>187</v>
      </c>
      <c r="N8" s="111" t="str">
        <f t="shared" ref="N8:N9" si="0">$E$2</f>
        <v>PJ</v>
      </c>
      <c r="O8" s="111"/>
      <c r="P8" s="111"/>
      <c r="Q8" s="111"/>
      <c r="R8" s="111"/>
    </row>
    <row r="9" spans="2:18" x14ac:dyDescent="0.2">
      <c r="E9" s="12"/>
      <c r="F9" s="12"/>
      <c r="G9" s="78"/>
      <c r="H9" s="11"/>
      <c r="J9" s="111"/>
      <c r="K9" s="111"/>
      <c r="L9" s="111" t="s">
        <v>184</v>
      </c>
      <c r="M9" s="112" t="s">
        <v>188</v>
      </c>
      <c r="N9" s="111" t="str">
        <f t="shared" si="0"/>
        <v>PJ</v>
      </c>
      <c r="O9" s="111"/>
      <c r="P9" s="111"/>
      <c r="Q9" s="111"/>
      <c r="R9" s="111"/>
    </row>
    <row r="10" spans="2:18" x14ac:dyDescent="0.2">
      <c r="E10" s="12"/>
      <c r="F10" s="12"/>
      <c r="G10" s="78"/>
      <c r="H10" s="11"/>
      <c r="J10" s="111"/>
      <c r="K10" s="111"/>
      <c r="L10" s="111" t="str">
        <f>$B$2&amp;[3]EB2!$O$2</f>
        <v>INDBIO</v>
      </c>
      <c r="M10" s="112" t="str">
        <f>$C$2&amp;" "&amp;[3]EB2!$O$3</f>
        <v>Industry Biomass</v>
      </c>
      <c r="N10" s="111" t="str">
        <f>$E$2</f>
        <v>PJ</v>
      </c>
      <c r="O10" s="111"/>
      <c r="P10" s="111"/>
      <c r="Q10" s="111"/>
      <c r="R10" s="111"/>
    </row>
    <row r="11" spans="2:18" x14ac:dyDescent="0.2">
      <c r="E11" s="12"/>
      <c r="F11" s="12"/>
      <c r="G11" s="78"/>
      <c r="H11" s="11"/>
      <c r="J11" s="111"/>
      <c r="K11" s="111"/>
      <c r="L11" s="111" t="str">
        <f>$B$2&amp;[3]EB2!$U$2</f>
        <v>INDELC</v>
      </c>
      <c r="M11" s="112" t="str">
        <f>$C$2&amp;" "&amp;[3]EB2!$U$3</f>
        <v>Industry Electricity</v>
      </c>
      <c r="N11" s="111" t="str">
        <f>$E$2</f>
        <v>PJ</v>
      </c>
      <c r="O11" s="111"/>
      <c r="P11" s="111"/>
      <c r="Q11" s="111"/>
      <c r="R11" s="111"/>
    </row>
    <row r="12" spans="2:18" x14ac:dyDescent="0.2">
      <c r="E12" s="12"/>
      <c r="F12" s="12"/>
      <c r="G12" s="78"/>
      <c r="H12" s="11"/>
      <c r="M12" s="20"/>
    </row>
    <row r="13" spans="2:18" x14ac:dyDescent="0.2">
      <c r="E13" s="12"/>
      <c r="F13" s="12"/>
      <c r="G13" s="78"/>
      <c r="H13" s="11"/>
      <c r="L13" s="24"/>
      <c r="M13" s="25"/>
    </row>
    <row r="14" spans="2:18" x14ac:dyDescent="0.2">
      <c r="D14" s="4" t="s">
        <v>13</v>
      </c>
      <c r="E14" s="4"/>
      <c r="F14" s="4"/>
      <c r="J14" s="106" t="s">
        <v>15</v>
      </c>
      <c r="K14" s="106"/>
      <c r="L14" s="111"/>
      <c r="M14" s="111"/>
      <c r="N14" s="111"/>
      <c r="O14" s="111"/>
      <c r="P14" s="111"/>
      <c r="Q14" s="111"/>
      <c r="R14" s="111"/>
    </row>
    <row r="15" spans="2:18" x14ac:dyDescent="0.2">
      <c r="B15" s="18" t="s">
        <v>1</v>
      </c>
      <c r="C15" s="18" t="s">
        <v>5</v>
      </c>
      <c r="D15" s="18" t="s">
        <v>6</v>
      </c>
      <c r="E15" s="83" t="s">
        <v>140</v>
      </c>
      <c r="F15" s="81" t="s">
        <v>121</v>
      </c>
      <c r="G15" s="81" t="s">
        <v>86</v>
      </c>
      <c r="H15" s="81" t="s">
        <v>81</v>
      </c>
      <c r="J15" s="108" t="s">
        <v>11</v>
      </c>
      <c r="K15" s="109" t="s">
        <v>30</v>
      </c>
      <c r="L15" s="108" t="s">
        <v>1</v>
      </c>
      <c r="M15" s="108" t="s">
        <v>2</v>
      </c>
      <c r="N15" s="108" t="s">
        <v>16</v>
      </c>
      <c r="O15" s="108" t="s">
        <v>17</v>
      </c>
      <c r="P15" s="108" t="s">
        <v>18</v>
      </c>
      <c r="Q15" s="108" t="s">
        <v>19</v>
      </c>
      <c r="R15" s="108" t="s">
        <v>20</v>
      </c>
    </row>
    <row r="16" spans="2:18" ht="23.25" thickBot="1" x14ac:dyDescent="0.25">
      <c r="B16" s="16" t="s">
        <v>39</v>
      </c>
      <c r="C16" s="16" t="s">
        <v>32</v>
      </c>
      <c r="D16" s="16" t="s">
        <v>33</v>
      </c>
      <c r="E16" s="16" t="s">
        <v>139</v>
      </c>
      <c r="F16" s="16" t="s">
        <v>34</v>
      </c>
      <c r="G16" s="16" t="s">
        <v>91</v>
      </c>
      <c r="H16" s="16" t="s">
        <v>159</v>
      </c>
      <c r="J16" s="110" t="s">
        <v>38</v>
      </c>
      <c r="K16" s="110" t="s">
        <v>31</v>
      </c>
      <c r="L16" s="110" t="s">
        <v>21</v>
      </c>
      <c r="M16" s="110" t="s">
        <v>22</v>
      </c>
      <c r="N16" s="110" t="s">
        <v>23</v>
      </c>
      <c r="O16" s="110" t="s">
        <v>24</v>
      </c>
      <c r="P16" s="110" t="s">
        <v>43</v>
      </c>
      <c r="Q16" s="110" t="s">
        <v>42</v>
      </c>
      <c r="R16" s="110" t="s">
        <v>25</v>
      </c>
    </row>
    <row r="17" spans="2:18" ht="13.5" thickBot="1" x14ac:dyDescent="0.25">
      <c r="B17" s="15" t="s">
        <v>92</v>
      </c>
      <c r="C17" s="15"/>
      <c r="D17" s="15"/>
      <c r="E17" s="13"/>
      <c r="F17" s="13" t="str">
        <f>E2&amp;"a"</f>
        <v>PJa</v>
      </c>
      <c r="G17" s="13"/>
      <c r="H17" s="13" t="s">
        <v>93</v>
      </c>
      <c r="J17" s="110" t="s">
        <v>83</v>
      </c>
      <c r="K17" s="113"/>
      <c r="L17" s="113"/>
      <c r="M17" s="113"/>
      <c r="N17" s="113"/>
      <c r="O17" s="113"/>
      <c r="P17" s="113"/>
      <c r="Q17" s="113"/>
      <c r="R17" s="113"/>
    </row>
    <row r="18" spans="2:18" x14ac:dyDescent="0.2">
      <c r="B18" s="111" t="str">
        <f>L18</f>
        <v>FTE-INDCOA</v>
      </c>
      <c r="C18" t="str">
        <f>RIGHT(D18,3)</f>
        <v>COA</v>
      </c>
      <c r="D18" t="str">
        <f>L5</f>
        <v>INDCOA</v>
      </c>
      <c r="E18" s="12"/>
      <c r="F18" s="12"/>
      <c r="G18" s="74">
        <v>1</v>
      </c>
      <c r="H18" s="75">
        <v>50</v>
      </c>
      <c r="J18" s="107" t="s">
        <v>112</v>
      </c>
      <c r="K18" s="111"/>
      <c r="L18" s="111" t="str">
        <f>"FT"&amp;$G$2&amp;"-"&amp;L5</f>
        <v>FTE-INDCOA</v>
      </c>
      <c r="M18" s="112" t="str">
        <f>$D$2&amp;" Technology"&amp;" "&amp;$G$1&amp;" "&amp;M5</f>
        <v>Sector Fuel Technology Existing Industry Solid Fuels</v>
      </c>
      <c r="N18" s="111" t="str">
        <f>$E$2</f>
        <v>PJ</v>
      </c>
      <c r="O18" s="111" t="str">
        <f>$E$2&amp;"a"</f>
        <v>PJa</v>
      </c>
      <c r="P18" s="111" t="s">
        <v>147</v>
      </c>
      <c r="Q18" s="111"/>
      <c r="R18" s="111"/>
    </row>
    <row r="19" spans="2:18" x14ac:dyDescent="0.2">
      <c r="B19" s="111" t="str">
        <f t="shared" ref="B19:B24" si="1">L19</f>
        <v>FTE-INDGAS</v>
      </c>
      <c r="C19" t="str">
        <f>RIGHT(D19,3)</f>
        <v>GAS</v>
      </c>
      <c r="D19" t="str">
        <f>L6</f>
        <v>INDGAS</v>
      </c>
      <c r="E19" s="12"/>
      <c r="F19" s="12"/>
      <c r="G19" s="74">
        <v>1</v>
      </c>
      <c r="H19" s="75">
        <v>50</v>
      </c>
      <c r="J19" s="111"/>
      <c r="K19" s="111"/>
      <c r="L19" s="111" t="str">
        <f>"FT"&amp;$G$2&amp;"-"&amp;L6</f>
        <v>FTE-INDGAS</v>
      </c>
      <c r="M19" s="112" t="str">
        <f>$D$2&amp;" Technology"&amp;" "&amp;$G$1&amp;" "&amp;M6</f>
        <v>Sector Fuel Technology Existing Industry Natural Gas</v>
      </c>
      <c r="N19" s="111" t="str">
        <f>$E$2</f>
        <v>PJ</v>
      </c>
      <c r="O19" s="111" t="str">
        <f>$E$2&amp;"a"</f>
        <v>PJa</v>
      </c>
      <c r="P19" s="111" t="s">
        <v>147</v>
      </c>
      <c r="Q19" s="111"/>
      <c r="R19" s="111"/>
    </row>
    <row r="20" spans="2:18" x14ac:dyDescent="0.2">
      <c r="B20" s="111" t="str">
        <f t="shared" si="1"/>
        <v>FTE-INDDSL</v>
      </c>
      <c r="C20" t="str">
        <f>'EB1'!G$2</f>
        <v>DSL</v>
      </c>
      <c r="D20" t="str">
        <f>L7</f>
        <v>INDDSL</v>
      </c>
      <c r="E20" s="12"/>
      <c r="F20" s="12"/>
      <c r="G20" s="74">
        <v>1</v>
      </c>
      <c r="H20" s="75">
        <v>50</v>
      </c>
      <c r="J20" s="111"/>
      <c r="K20" s="111"/>
      <c r="L20" s="111" t="str">
        <f>"FT"&amp;$G$2&amp;"-"&amp;L7</f>
        <v>FTE-INDDSL</v>
      </c>
      <c r="M20" s="112" t="str">
        <f>$D$2&amp;" Technology"&amp;" "&amp;$G$1&amp;" "&amp;M7</f>
        <v>Sector Fuel Technology Existing Industry DSL</v>
      </c>
      <c r="N20" s="111" t="str">
        <f>$E$2</f>
        <v>PJ</v>
      </c>
      <c r="O20" s="111" t="str">
        <f>$E$2&amp;"a"</f>
        <v>PJa</v>
      </c>
      <c r="P20" s="111" t="s">
        <v>147</v>
      </c>
      <c r="Q20" s="111"/>
      <c r="R20" s="111"/>
    </row>
    <row r="21" spans="2:18" x14ac:dyDescent="0.2">
      <c r="B21" s="111" t="str">
        <f t="shared" si="1"/>
        <v>FTE-INDLPG</v>
      </c>
      <c r="C21" t="str">
        <f>'EB1'!I$2</f>
        <v>LPG</v>
      </c>
      <c r="D21" t="str">
        <f t="shared" ref="D21:D23" si="2">L8</f>
        <v>INDLPG</v>
      </c>
      <c r="E21" s="12"/>
      <c r="F21" s="12"/>
      <c r="G21" s="74">
        <v>1</v>
      </c>
      <c r="H21" s="75">
        <v>50</v>
      </c>
      <c r="J21" s="111"/>
      <c r="K21" s="111"/>
      <c r="L21" s="111" t="str">
        <f t="shared" ref="L21:L24" si="3">"FT"&amp;$G$2&amp;"-"&amp;L8</f>
        <v>FTE-INDLPG</v>
      </c>
      <c r="M21" s="112" t="str">
        <f t="shared" ref="M21:M24" si="4">$D$2&amp;" Technology"&amp;" "&amp;$G$1&amp;" "&amp;M8</f>
        <v>Sector Fuel Technology Existing Industry LPG</v>
      </c>
      <c r="N21" s="111" t="str">
        <f t="shared" ref="N21:N24" si="5">$E$2</f>
        <v>PJ</v>
      </c>
      <c r="O21" s="111" t="str">
        <f t="shared" ref="O21:O24" si="6">$E$2&amp;"a"</f>
        <v>PJa</v>
      </c>
      <c r="P21" s="111" t="s">
        <v>147</v>
      </c>
    </row>
    <row r="22" spans="2:18" x14ac:dyDescent="0.2">
      <c r="B22" s="111" t="str">
        <f t="shared" si="1"/>
        <v>FTE-INDHFO</v>
      </c>
      <c r="C22" t="str">
        <f>'EB1'!L$2</f>
        <v>HFO</v>
      </c>
      <c r="D22" t="str">
        <f t="shared" si="2"/>
        <v>INDHFO</v>
      </c>
      <c r="E22" s="12"/>
      <c r="F22" s="12"/>
      <c r="G22" s="74">
        <v>1</v>
      </c>
      <c r="H22" s="75">
        <v>50</v>
      </c>
      <c r="J22" s="24"/>
      <c r="K22" s="24"/>
      <c r="L22" s="111" t="str">
        <f t="shared" si="3"/>
        <v>FTE-INDHFO</v>
      </c>
      <c r="M22" s="112" t="str">
        <f t="shared" si="4"/>
        <v>Sector Fuel Technology Existing Industry HFO</v>
      </c>
      <c r="N22" s="111" t="str">
        <f t="shared" si="5"/>
        <v>PJ</v>
      </c>
      <c r="O22" s="111" t="str">
        <f t="shared" si="6"/>
        <v>PJa</v>
      </c>
      <c r="P22" s="111" t="s">
        <v>147</v>
      </c>
    </row>
    <row r="23" spans="2:18" x14ac:dyDescent="0.2">
      <c r="B23" s="111" t="str">
        <f t="shared" si="1"/>
        <v>FTE-INDBIO</v>
      </c>
      <c r="C23" t="s">
        <v>51</v>
      </c>
      <c r="D23" t="str">
        <f t="shared" si="2"/>
        <v>INDBIO</v>
      </c>
      <c r="E23" s="12"/>
      <c r="F23" s="12"/>
      <c r="G23" s="74">
        <v>1</v>
      </c>
      <c r="H23" s="75">
        <v>50</v>
      </c>
      <c r="J23" s="24"/>
      <c r="K23" s="24"/>
      <c r="L23" s="111" t="str">
        <f t="shared" si="3"/>
        <v>FTE-INDBIO</v>
      </c>
      <c r="M23" s="112" t="str">
        <f t="shared" si="4"/>
        <v>Sector Fuel Technology Existing Industry Biomass</v>
      </c>
      <c r="N23" s="111" t="str">
        <f>$E$2</f>
        <v>PJ</v>
      </c>
      <c r="O23" s="111" t="str">
        <f>$E$2&amp;"a"</f>
        <v>PJa</v>
      </c>
      <c r="P23" s="111" t="s">
        <v>147</v>
      </c>
      <c r="Q23" s="111"/>
      <c r="R23" s="111"/>
    </row>
    <row r="24" spans="2:18" x14ac:dyDescent="0.2">
      <c r="B24" s="111" t="str">
        <f t="shared" si="1"/>
        <v>FTE-INDELC</v>
      </c>
      <c r="C24" t="str">
        <f>RIGHT(D24,3)</f>
        <v>BIO</v>
      </c>
      <c r="D24" t="str">
        <f>L10</f>
        <v>INDBIO</v>
      </c>
      <c r="E24" s="12"/>
      <c r="F24" s="12"/>
      <c r="G24" s="74">
        <v>1</v>
      </c>
      <c r="H24" s="75">
        <v>50</v>
      </c>
      <c r="L24" s="111" t="str">
        <f t="shared" si="3"/>
        <v>FTE-INDELC</v>
      </c>
      <c r="M24" s="112" t="str">
        <f t="shared" si="4"/>
        <v>Sector Fuel Technology Existing Industry Electricity</v>
      </c>
      <c r="N24" s="111" t="str">
        <f t="shared" si="5"/>
        <v>PJ</v>
      </c>
      <c r="O24" s="111" t="str">
        <f t="shared" si="6"/>
        <v>PJa</v>
      </c>
      <c r="P24" s="111" t="s">
        <v>147</v>
      </c>
    </row>
    <row r="25" spans="2:18" x14ac:dyDescent="0.2">
      <c r="E25" s="12"/>
      <c r="F25" s="12"/>
      <c r="G25" s="78"/>
      <c r="H25" s="11"/>
    </row>
    <row r="26" spans="2:18" x14ac:dyDescent="0.2">
      <c r="B26" s="24"/>
      <c r="D26" s="24"/>
      <c r="E26" s="100"/>
      <c r="F26" s="12"/>
      <c r="G26" s="78"/>
      <c r="H26" s="11"/>
    </row>
    <row r="27" spans="2:18" x14ac:dyDescent="0.2">
      <c r="B27" s="24"/>
      <c r="D27" s="24"/>
      <c r="E27" s="100"/>
      <c r="F27" s="12"/>
      <c r="G27" s="78"/>
      <c r="H27" s="11"/>
    </row>
    <row r="28" spans="2:18" x14ac:dyDescent="0.2">
      <c r="B28" s="24"/>
      <c r="D28" s="24"/>
      <c r="F28" s="12"/>
      <c r="G28" s="78"/>
      <c r="H28" s="11"/>
    </row>
    <row r="29" spans="2:18" x14ac:dyDescent="0.2">
      <c r="R29">
        <v>2</v>
      </c>
    </row>
    <row r="32" spans="2:18" x14ac:dyDescent="0.2">
      <c r="B32" s="42"/>
      <c r="C32" s="1" t="s">
        <v>143</v>
      </c>
    </row>
    <row r="33" spans="2:3" x14ac:dyDescent="0.2">
      <c r="B33" s="72"/>
      <c r="C33" s="1" t="s">
        <v>144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35"/>
  <sheetViews>
    <sheetView topLeftCell="A15" zoomScale="115" zoomScaleNormal="115" workbookViewId="0">
      <selection activeCell="G41" sqref="G41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3.140625" bestFit="1" customWidth="1"/>
    <col min="7" max="7" width="16.140625" bestFit="1" customWidth="1"/>
    <col min="8" max="8" width="9.5703125" bestFit="1" customWidth="1"/>
    <col min="9" max="9" width="7.85546875" bestFit="1" customWidth="1"/>
    <col min="10" max="10" width="2.7109375" customWidth="1"/>
    <col min="11" max="11" width="10.85546875" customWidth="1"/>
    <col min="12" max="12" width="2" customWidth="1"/>
    <col min="13" max="13" width="12.7109375" bestFit="1" customWidth="1"/>
    <col min="14" max="14" width="7.140625" customWidth="1"/>
    <col min="15" max="15" width="21.85546875" customWidth="1"/>
    <col min="16" max="16" width="69.7109375" customWidth="1"/>
    <col min="17" max="17" width="5.7109375" customWidth="1"/>
    <col min="18" max="18" width="13.855468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8" t="s">
        <v>75</v>
      </c>
      <c r="C1" s="8" t="s">
        <v>77</v>
      </c>
      <c r="D1" s="8" t="s">
        <v>114</v>
      </c>
      <c r="E1" s="8" t="s">
        <v>79</v>
      </c>
      <c r="F1" s="8" t="s">
        <v>80</v>
      </c>
      <c r="G1" s="8"/>
      <c r="I1" s="8" t="s">
        <v>100</v>
      </c>
    </row>
    <row r="2" spans="2:21" ht="31.5" x14ac:dyDescent="0.25">
      <c r="B2" s="10" t="str">
        <f>'EB1'!B7</f>
        <v>IND</v>
      </c>
      <c r="C2" s="10" t="str">
        <f>'EB1'!C7</f>
        <v>Industry</v>
      </c>
      <c r="D2" s="19" t="str">
        <f>"Demand Technologies"</f>
        <v>Demand Technologies</v>
      </c>
      <c r="E2" s="10" t="str">
        <f>'EB1'!Z2</f>
        <v>PJ</v>
      </c>
      <c r="F2" s="10" t="str">
        <f>'EB1'!Y2</f>
        <v>M$2021</v>
      </c>
      <c r="G2" s="10"/>
      <c r="I2" s="10" t="s">
        <v>101</v>
      </c>
      <c r="M2" s="106" t="s">
        <v>14</v>
      </c>
      <c r="N2" s="106"/>
      <c r="O2" s="107"/>
      <c r="P2" s="107"/>
      <c r="Q2" s="107"/>
      <c r="R2" s="107"/>
      <c r="S2" s="107"/>
      <c r="T2" s="107"/>
      <c r="U2" s="107"/>
    </row>
    <row r="3" spans="2:21" x14ac:dyDescent="0.2">
      <c r="M3" s="108" t="s">
        <v>7</v>
      </c>
      <c r="N3" s="109" t="s">
        <v>30</v>
      </c>
      <c r="O3" s="108" t="s">
        <v>0</v>
      </c>
      <c r="P3" s="108" t="s">
        <v>3</v>
      </c>
      <c r="Q3" s="108" t="s">
        <v>4</v>
      </c>
      <c r="R3" s="108" t="s">
        <v>8</v>
      </c>
      <c r="S3" s="108" t="s">
        <v>9</v>
      </c>
      <c r="T3" s="108" t="s">
        <v>10</v>
      </c>
      <c r="U3" s="108" t="s">
        <v>12</v>
      </c>
    </row>
    <row r="4" spans="2:21" ht="24" thickBot="1" x14ac:dyDescent="0.3">
      <c r="B4" s="9"/>
      <c r="C4" s="9"/>
      <c r="D4" s="9"/>
      <c r="E4" s="9"/>
      <c r="F4" s="9"/>
      <c r="G4" s="9"/>
      <c r="H4" s="9"/>
      <c r="M4" s="110" t="s">
        <v>37</v>
      </c>
      <c r="N4" s="110" t="s">
        <v>31</v>
      </c>
      <c r="O4" s="110" t="s">
        <v>26</v>
      </c>
      <c r="P4" s="110" t="s">
        <v>27</v>
      </c>
      <c r="Q4" s="110" t="s">
        <v>4</v>
      </c>
      <c r="R4" s="110" t="s">
        <v>40</v>
      </c>
      <c r="S4" s="110" t="s">
        <v>41</v>
      </c>
      <c r="T4" s="110" t="s">
        <v>28</v>
      </c>
      <c r="U4" s="110" t="s">
        <v>29</v>
      </c>
    </row>
    <row r="5" spans="2:21" ht="15.75" x14ac:dyDescent="0.25">
      <c r="B5" s="9"/>
      <c r="C5" s="9"/>
      <c r="D5" s="9"/>
      <c r="E5" s="9"/>
      <c r="F5" s="9"/>
      <c r="G5" s="9"/>
      <c r="H5" s="9"/>
      <c r="M5" s="107" t="s">
        <v>85</v>
      </c>
      <c r="N5" s="111"/>
      <c r="O5" s="107" t="str">
        <f>LEFT($M$5,1)&amp;LEFT(B2,1)&amp;'EB1'!$C$20</f>
        <v>DIBOIL</v>
      </c>
      <c r="P5" s="107" t="str">
        <f>LEFT($D$2,6)&amp;" "&amp;$C$2&amp; " Sector - "&amp;'EB1'!$X$20</f>
        <v>Demand Industry Sector - Boiler</v>
      </c>
      <c r="Q5" s="107" t="s">
        <v>78</v>
      </c>
      <c r="R5" s="107"/>
      <c r="S5" s="107"/>
      <c r="T5" s="107"/>
      <c r="U5" s="107"/>
    </row>
    <row r="6" spans="2:21" ht="15.75" x14ac:dyDescent="0.25">
      <c r="B6" s="9"/>
      <c r="C6" s="9"/>
      <c r="D6" s="9"/>
      <c r="E6" s="9"/>
      <c r="F6" s="9"/>
      <c r="G6" s="9"/>
      <c r="H6" s="9"/>
      <c r="M6" s="107" t="s">
        <v>85</v>
      </c>
      <c r="N6" s="111"/>
      <c r="O6" s="107" t="str">
        <f>LEFT($M$5,1)&amp;LEFT(B2,1)&amp;'EB1'!$C$21</f>
        <v>DIOAPP</v>
      </c>
      <c r="P6" s="107" t="str">
        <f>LEFT($D$2,6)&amp;" "&amp;$C$2&amp; " Sector - "&amp;'EB1'!$X$21</f>
        <v>Demand Industry Sector - Other Appliance</v>
      </c>
      <c r="Q6" s="107" t="s">
        <v>78</v>
      </c>
      <c r="R6" s="107"/>
      <c r="S6" s="107"/>
      <c r="T6" s="107"/>
      <c r="U6" s="107"/>
    </row>
    <row r="7" spans="2:21" ht="15.75" x14ac:dyDescent="0.25">
      <c r="B7" s="9"/>
      <c r="C7" s="9"/>
      <c r="D7" s="9"/>
      <c r="E7" s="9"/>
      <c r="F7" s="9"/>
      <c r="G7" s="9"/>
      <c r="H7" s="9"/>
      <c r="M7" s="107" t="s">
        <v>85</v>
      </c>
      <c r="N7" s="111"/>
      <c r="O7" s="107" t="str">
        <f>LEFT($M$5,1)&amp;LEFT(B2,1)&amp;'EB1'!$C$22</f>
        <v>DICOMP</v>
      </c>
      <c r="P7" s="107" t="str">
        <f>LEFT($D$2,6)&amp;" "&amp;$C$2&amp; " Sector - "&amp;'EB1'!$X$22</f>
        <v>Demand Industry Sector - Compressor</v>
      </c>
      <c r="Q7" s="107" t="s">
        <v>78</v>
      </c>
      <c r="R7" s="107"/>
      <c r="S7" s="107"/>
      <c r="T7" s="107"/>
      <c r="U7" s="107"/>
    </row>
    <row r="8" spans="2:21" ht="15.75" x14ac:dyDescent="0.25">
      <c r="B8" s="9"/>
      <c r="C8" s="9"/>
      <c r="D8" s="9"/>
      <c r="E8" s="9"/>
      <c r="F8" s="9"/>
      <c r="G8" s="9"/>
      <c r="H8" s="9"/>
      <c r="M8" s="107" t="s">
        <v>85</v>
      </c>
      <c r="N8" s="111"/>
      <c r="O8" s="107" t="str">
        <f>LEFT($M$5,1)&amp;LEFT(B2,1)&amp;'EB1'!$C$23</f>
        <v>DIPUMP</v>
      </c>
      <c r="P8" s="107" t="str">
        <f>LEFT($D$2,6)&amp;" "&amp;$C$2&amp; " Sector - "&amp;'EB1'!$X$23</f>
        <v>Demand Industry Sector - Pump</v>
      </c>
      <c r="Q8" s="107" t="s">
        <v>78</v>
      </c>
      <c r="R8" s="107"/>
      <c r="S8" s="107"/>
      <c r="T8" s="107"/>
      <c r="U8" s="107"/>
    </row>
    <row r="9" spans="2:21" ht="15.75" x14ac:dyDescent="0.25">
      <c r="B9" s="9"/>
      <c r="C9" s="9"/>
      <c r="D9" s="9"/>
      <c r="E9" s="9"/>
      <c r="F9" s="9"/>
      <c r="G9" s="9"/>
      <c r="H9" s="9"/>
      <c r="M9" s="107" t="s">
        <v>85</v>
      </c>
      <c r="N9" s="111"/>
      <c r="O9" s="107" t="str">
        <f>LEFT($M$5,1)&amp;LEFT(B2,1)&amp;'EB1'!$C$24</f>
        <v>DIMOTO</v>
      </c>
      <c r="P9" s="107" t="str">
        <f>LEFT($D$2,6)&amp;" "&amp;$C$2&amp; " Sector - "&amp;'EB1'!$X$24</f>
        <v>Demand Industry Sector - Heavy Motor</v>
      </c>
      <c r="Q9" s="107" t="s">
        <v>78</v>
      </c>
      <c r="R9" s="107"/>
      <c r="S9" s="107"/>
      <c r="T9" s="107"/>
      <c r="U9" s="107"/>
    </row>
    <row r="10" spans="2:21" ht="15.75" x14ac:dyDescent="0.25">
      <c r="B10" s="9"/>
      <c r="C10" s="9"/>
      <c r="D10" s="9"/>
      <c r="E10" s="9"/>
      <c r="F10" s="9"/>
      <c r="G10" s="9"/>
      <c r="H10" s="9"/>
      <c r="M10" s="111" t="s">
        <v>105</v>
      </c>
      <c r="N10" s="111"/>
      <c r="O10" s="111" t="str">
        <f>$B$2&amp;'EB1'!$C$27</f>
        <v>INDCO2</v>
      </c>
      <c r="P10" s="111" t="str">
        <f>$C$2&amp;" "&amp;'EB1'!$C$28</f>
        <v>Industry Carbon dioxide</v>
      </c>
      <c r="Q10" s="111" t="str">
        <f>'EB1'!$AA$2</f>
        <v>kt</v>
      </c>
      <c r="R10" s="107"/>
      <c r="S10" s="107"/>
      <c r="T10" s="107"/>
      <c r="U10" s="107"/>
    </row>
    <row r="11" spans="2:21" x14ac:dyDescent="0.2">
      <c r="R11" s="111"/>
      <c r="S11" s="111"/>
      <c r="T11" s="111"/>
      <c r="U11" s="111"/>
    </row>
    <row r="12" spans="2:21" ht="15.75" x14ac:dyDescent="0.25">
      <c r="B12" s="9"/>
      <c r="C12" s="9"/>
      <c r="D12" s="9"/>
      <c r="E12" s="9"/>
      <c r="F12" s="9"/>
      <c r="G12" s="9"/>
      <c r="H12" s="9"/>
      <c r="M12" s="107"/>
      <c r="N12" s="111"/>
      <c r="O12" s="107"/>
      <c r="P12" s="107"/>
      <c r="Q12" s="107"/>
      <c r="R12" s="107"/>
      <c r="S12" s="107"/>
      <c r="T12" s="107"/>
      <c r="U12" s="107"/>
    </row>
    <row r="14" spans="2:21" x14ac:dyDescent="0.2">
      <c r="D14" s="4" t="s">
        <v>13</v>
      </c>
      <c r="E14" s="4"/>
      <c r="F14" s="4"/>
      <c r="G14" s="4"/>
      <c r="I14" s="4"/>
      <c r="J14" s="4"/>
      <c r="K14" s="14"/>
      <c r="M14" s="106" t="s">
        <v>15</v>
      </c>
      <c r="N14" s="106"/>
      <c r="O14" s="111"/>
      <c r="P14" s="111"/>
      <c r="Q14" s="111"/>
      <c r="R14" s="111"/>
      <c r="S14" s="111"/>
      <c r="T14" s="111"/>
      <c r="U14" s="111"/>
    </row>
    <row r="15" spans="2:21" x14ac:dyDescent="0.2">
      <c r="B15" s="18" t="s">
        <v>1</v>
      </c>
      <c r="C15" s="18" t="s">
        <v>5</v>
      </c>
      <c r="D15" s="18" t="s">
        <v>6</v>
      </c>
      <c r="E15" s="81" t="s">
        <v>121</v>
      </c>
      <c r="F15" s="81" t="s">
        <v>86</v>
      </c>
      <c r="G15" s="81" t="s">
        <v>98</v>
      </c>
      <c r="H15" s="81" t="s">
        <v>173</v>
      </c>
      <c r="I15" s="81" t="s">
        <v>81</v>
      </c>
      <c r="J15" s="4"/>
      <c r="K15" s="118" t="s">
        <v>35</v>
      </c>
      <c r="M15" s="108" t="s">
        <v>11</v>
      </c>
      <c r="N15" s="109" t="s">
        <v>30</v>
      </c>
      <c r="O15" s="108" t="s">
        <v>1</v>
      </c>
      <c r="P15" s="108" t="s">
        <v>2</v>
      </c>
      <c r="Q15" s="108" t="s">
        <v>16</v>
      </c>
      <c r="R15" s="108" t="s">
        <v>17</v>
      </c>
      <c r="S15" s="108" t="s">
        <v>18</v>
      </c>
      <c r="T15" s="108" t="s">
        <v>19</v>
      </c>
      <c r="U15" s="108" t="s">
        <v>20</v>
      </c>
    </row>
    <row r="16" spans="2:21" ht="34.5" thickBot="1" x14ac:dyDescent="0.25">
      <c r="B16" s="16" t="s">
        <v>39</v>
      </c>
      <c r="C16" s="16" t="s">
        <v>32</v>
      </c>
      <c r="D16" s="16" t="s">
        <v>33</v>
      </c>
      <c r="E16" s="16" t="s">
        <v>34</v>
      </c>
      <c r="F16" s="16" t="s">
        <v>91</v>
      </c>
      <c r="G16" s="92" t="s">
        <v>99</v>
      </c>
      <c r="H16" s="16" t="s">
        <v>174</v>
      </c>
      <c r="I16" s="16" t="s">
        <v>159</v>
      </c>
      <c r="J16" s="4"/>
      <c r="K16" s="118" t="s">
        <v>179</v>
      </c>
      <c r="M16" s="110" t="s">
        <v>38</v>
      </c>
      <c r="N16" s="110" t="s">
        <v>31</v>
      </c>
      <c r="O16" s="110" t="s">
        <v>21</v>
      </c>
      <c r="P16" s="110" t="s">
        <v>22</v>
      </c>
      <c r="Q16" s="110" t="s">
        <v>23</v>
      </c>
      <c r="R16" s="110" t="s">
        <v>24</v>
      </c>
      <c r="S16" s="110" t="s">
        <v>43</v>
      </c>
      <c r="T16" s="110" t="s">
        <v>42</v>
      </c>
      <c r="U16" s="110" t="s">
        <v>25</v>
      </c>
    </row>
    <row r="17" spans="2:21" ht="23.25" thickBot="1" x14ac:dyDescent="0.25">
      <c r="B17" s="16" t="s">
        <v>92</v>
      </c>
      <c r="C17" s="16"/>
      <c r="D17" s="16"/>
      <c r="E17" s="82" t="s">
        <v>180</v>
      </c>
      <c r="F17" s="82"/>
      <c r="G17" s="128"/>
      <c r="H17" s="82" t="s">
        <v>175</v>
      </c>
      <c r="I17" s="82" t="s">
        <v>93</v>
      </c>
      <c r="J17" s="4"/>
      <c r="K17" s="13"/>
      <c r="M17" s="110" t="s">
        <v>83</v>
      </c>
      <c r="N17" s="110"/>
      <c r="O17" s="110"/>
      <c r="P17" s="110"/>
      <c r="Q17" s="110"/>
      <c r="R17" s="110"/>
      <c r="S17" s="110"/>
      <c r="T17" s="110"/>
      <c r="U17" s="110"/>
    </row>
    <row r="18" spans="2:21" x14ac:dyDescent="0.2">
      <c r="B18" s="129" t="str">
        <f>O18</f>
        <v>IBOILECOA</v>
      </c>
      <c r="C18" s="130" t="s">
        <v>176</v>
      </c>
      <c r="D18" s="131" t="str">
        <f>$O$5</f>
        <v>DIBOIL</v>
      </c>
      <c r="E18" s="132">
        <f>'EB1'!$D$7*'EB1'!$D$20/(G18*H18)*1.01</f>
        <v>1.3022033997716895</v>
      </c>
      <c r="F18" s="133">
        <v>0.8</v>
      </c>
      <c r="G18" s="133">
        <v>0.5</v>
      </c>
      <c r="H18" s="134">
        <v>31.536000000000001</v>
      </c>
      <c r="I18" s="135">
        <v>30</v>
      </c>
      <c r="J18" s="17"/>
      <c r="K18" s="120">
        <f>E18*G18*H18</f>
        <v>20.533143207600002</v>
      </c>
      <c r="M18" s="107" t="s">
        <v>97</v>
      </c>
      <c r="O18" s="111" t="s">
        <v>189</v>
      </c>
      <c r="P18" s="111" t="s">
        <v>198</v>
      </c>
      <c r="Q18" s="111" t="str">
        <f t="shared" ref="Q18:Q27" si="0">$E$2</f>
        <v>PJ</v>
      </c>
      <c r="R18" s="111" t="str">
        <f t="shared" ref="R18:R27" si="1">$E$2&amp;"a"</f>
        <v>PJa</v>
      </c>
    </row>
    <row r="19" spans="2:21" x14ac:dyDescent="0.2">
      <c r="B19" s="136" t="str">
        <f t="shared" ref="B19:B27" si="2">O19</f>
        <v>IBOILEBIO</v>
      </c>
      <c r="C19" t="s">
        <v>177</v>
      </c>
      <c r="D19" s="111" t="str">
        <f>$O$5</f>
        <v>DIBOIL</v>
      </c>
      <c r="E19" s="73">
        <f>'EB1'!$O$7*'EB1'!$O$20/(G19*H19)*1.01</f>
        <v>3.8442582643835617</v>
      </c>
      <c r="F19" s="137">
        <v>0.85</v>
      </c>
      <c r="G19" s="137">
        <v>0.5</v>
      </c>
      <c r="H19" s="117">
        <v>31.536000000000001</v>
      </c>
      <c r="I19" s="138">
        <v>30</v>
      </c>
      <c r="K19" s="120">
        <f t="shared" ref="K19:K26" si="3">E19*G19*H19</f>
        <v>60.616264312800006</v>
      </c>
      <c r="M19" s="107" t="s">
        <v>97</v>
      </c>
      <c r="O19" s="111" t="s">
        <v>190</v>
      </c>
      <c r="P19" s="111" t="s">
        <v>199</v>
      </c>
      <c r="Q19" s="111" t="str">
        <f t="shared" si="0"/>
        <v>PJ</v>
      </c>
      <c r="R19" s="111" t="str">
        <f t="shared" si="1"/>
        <v>PJa</v>
      </c>
    </row>
    <row r="20" spans="2:21" x14ac:dyDescent="0.2">
      <c r="B20" s="136" t="str">
        <f t="shared" si="2"/>
        <v>IBOILEELC</v>
      </c>
      <c r="C20" t="s">
        <v>178</v>
      </c>
      <c r="D20" s="111" t="str">
        <f>$O$5</f>
        <v>DIBOIL</v>
      </c>
      <c r="E20" s="73">
        <f>'EB1'!$U$7*'EB1'!$U$20/(G20*H20)*1.01</f>
        <v>4.9134665627853888E-2</v>
      </c>
      <c r="F20" s="137">
        <v>1</v>
      </c>
      <c r="G20" s="137">
        <v>0.5</v>
      </c>
      <c r="H20" s="117">
        <v>31.536000000000001</v>
      </c>
      <c r="I20" s="138">
        <v>30</v>
      </c>
      <c r="K20" s="120">
        <f t="shared" si="3"/>
        <v>0.77475540762000017</v>
      </c>
      <c r="M20" s="107" t="s">
        <v>97</v>
      </c>
      <c r="O20" s="111" t="s">
        <v>191</v>
      </c>
      <c r="P20" s="111" t="s">
        <v>200</v>
      </c>
      <c r="Q20" s="111" t="str">
        <f t="shared" si="0"/>
        <v>PJ</v>
      </c>
      <c r="R20" s="111" t="str">
        <f t="shared" si="1"/>
        <v>PJa</v>
      </c>
    </row>
    <row r="21" spans="2:21" x14ac:dyDescent="0.2">
      <c r="B21" s="139" t="str">
        <f t="shared" si="2"/>
        <v>IBOILHFO</v>
      </c>
      <c r="C21" s="140" t="s">
        <v>184</v>
      </c>
      <c r="D21" s="141" t="str">
        <f>$O$5</f>
        <v>DIBOIL</v>
      </c>
      <c r="E21" s="142">
        <f>'EB1'!$L$7*'EB1'!$L$20/(G21*H21)*1.01</f>
        <v>3.2449824200913241E-3</v>
      </c>
      <c r="F21" s="143">
        <v>0.8</v>
      </c>
      <c r="G21" s="143">
        <v>0.5</v>
      </c>
      <c r="H21" s="144">
        <v>31.536000000000001</v>
      </c>
      <c r="I21" s="145">
        <v>30</v>
      </c>
      <c r="K21" s="120">
        <f t="shared" ref="K21" si="4">E21*G21*H21</f>
        <v>5.1166882800000001E-2</v>
      </c>
      <c r="M21" s="107" t="s">
        <v>97</v>
      </c>
      <c r="O21" s="111" t="s">
        <v>197</v>
      </c>
      <c r="P21" s="111" t="s">
        <v>206</v>
      </c>
      <c r="Q21" s="111" t="str">
        <f t="shared" si="0"/>
        <v>PJ</v>
      </c>
      <c r="R21" s="111" t="str">
        <f t="shared" si="1"/>
        <v>PJa</v>
      </c>
    </row>
    <row r="22" spans="2:21" x14ac:dyDescent="0.2">
      <c r="B22" s="129" t="str">
        <f t="shared" si="2"/>
        <v>IOAPPEELC</v>
      </c>
      <c r="C22" s="130" t="s">
        <v>178</v>
      </c>
      <c r="D22" s="131" t="str">
        <f>$O$6</f>
        <v>DIOAPP</v>
      </c>
      <c r="E22" s="132">
        <f>'EB1'!$U$7*'EB1'!$U$21/(G22*H22)*1.01</f>
        <v>0.19653866251141555</v>
      </c>
      <c r="F22" s="133">
        <v>1</v>
      </c>
      <c r="G22" s="133">
        <v>0.5</v>
      </c>
      <c r="H22" s="134">
        <v>31.536000000000001</v>
      </c>
      <c r="I22" s="135">
        <v>10</v>
      </c>
      <c r="K22" s="120">
        <f>E22*G22*H22</f>
        <v>3.0990216304800007</v>
      </c>
      <c r="M22" s="107" t="s">
        <v>97</v>
      </c>
      <c r="O22" s="111" t="s">
        <v>192</v>
      </c>
      <c r="P22" s="111" t="s">
        <v>201</v>
      </c>
      <c r="Q22" s="111" t="str">
        <f t="shared" si="0"/>
        <v>PJ</v>
      </c>
      <c r="R22" s="111" t="str">
        <f t="shared" si="1"/>
        <v>PJa</v>
      </c>
    </row>
    <row r="23" spans="2:21" x14ac:dyDescent="0.2">
      <c r="B23" s="136" t="str">
        <f t="shared" si="2"/>
        <v>IOAPPELPG</v>
      </c>
      <c r="C23" t="s">
        <v>183</v>
      </c>
      <c r="D23" s="111" t="str">
        <f>$O$6</f>
        <v>DIOAPP</v>
      </c>
      <c r="E23" s="73">
        <f>'EB1'!$I$7*'EB1'!$I$21/(G23*H23)*1.01</f>
        <v>1.823626484018265E-3</v>
      </c>
      <c r="F23" s="137">
        <v>0.87</v>
      </c>
      <c r="G23" s="137">
        <v>0.5</v>
      </c>
      <c r="H23" s="117">
        <v>31.536000000000001</v>
      </c>
      <c r="I23" s="138">
        <v>10</v>
      </c>
      <c r="K23" s="120">
        <f>E23*G23*H23</f>
        <v>2.8754942400000004E-2</v>
      </c>
      <c r="M23" s="107" t="s">
        <v>97</v>
      </c>
      <c r="O23" s="111" t="s">
        <v>207</v>
      </c>
      <c r="P23" s="111" t="s">
        <v>208</v>
      </c>
      <c r="Q23" s="111" t="str">
        <f t="shared" si="0"/>
        <v>PJ</v>
      </c>
      <c r="R23" s="111" t="str">
        <f t="shared" si="1"/>
        <v>PJa</v>
      </c>
    </row>
    <row r="24" spans="2:21" x14ac:dyDescent="0.2">
      <c r="B24" s="139" t="str">
        <f t="shared" si="2"/>
        <v>IOAPPEDSL</v>
      </c>
      <c r="C24" s="140" t="s">
        <v>185</v>
      </c>
      <c r="D24" s="141" t="str">
        <f>$O$6</f>
        <v>DIOAPP</v>
      </c>
      <c r="E24" s="142">
        <f>'EB1'!$G$7*'EB1'!$G$21/(G24*H24)*1.01</f>
        <v>0.60185037579908673</v>
      </c>
      <c r="F24" s="143">
        <v>0.2</v>
      </c>
      <c r="G24" s="143">
        <v>0.5</v>
      </c>
      <c r="H24" s="144">
        <v>31.536000000000001</v>
      </c>
      <c r="I24" s="145">
        <v>10</v>
      </c>
      <c r="K24" s="120">
        <f>E24*G24*H24</f>
        <v>9.4899767256000001</v>
      </c>
      <c r="M24" s="107" t="s">
        <v>97</v>
      </c>
      <c r="O24" s="111" t="s">
        <v>193</v>
      </c>
      <c r="P24" s="111" t="s">
        <v>202</v>
      </c>
      <c r="Q24" s="111" t="str">
        <f t="shared" si="0"/>
        <v>PJ</v>
      </c>
      <c r="R24" s="111" t="str">
        <f t="shared" si="1"/>
        <v>PJa</v>
      </c>
    </row>
    <row r="25" spans="2:21" x14ac:dyDescent="0.2">
      <c r="B25" s="111" t="str">
        <f t="shared" si="2"/>
        <v>ICOMPEELC</v>
      </c>
      <c r="C25" t="s">
        <v>178</v>
      </c>
      <c r="D25" s="111" t="str">
        <f>$O$7</f>
        <v>DICOMP</v>
      </c>
      <c r="E25" s="73">
        <f>'EB1'!$U$7*'EB1'!$U$22/(G25*H25)*1.01</f>
        <v>0.19653866251141555</v>
      </c>
      <c r="F25" s="119">
        <v>1</v>
      </c>
      <c r="G25" s="119">
        <v>0.5</v>
      </c>
      <c r="H25" s="117">
        <v>31.536000000000001</v>
      </c>
      <c r="I25" s="42">
        <v>10</v>
      </c>
      <c r="K25" s="120">
        <f t="shared" si="3"/>
        <v>3.0990216304800007</v>
      </c>
      <c r="M25" s="107" t="s">
        <v>97</v>
      </c>
      <c r="O25" s="111" t="s">
        <v>194</v>
      </c>
      <c r="P25" s="111" t="s">
        <v>203</v>
      </c>
      <c r="Q25" s="111" t="str">
        <f t="shared" si="0"/>
        <v>PJ</v>
      </c>
      <c r="R25" s="111" t="str">
        <f t="shared" si="1"/>
        <v>PJa</v>
      </c>
    </row>
    <row r="26" spans="2:21" x14ac:dyDescent="0.2">
      <c r="B26" s="111" t="str">
        <f t="shared" si="2"/>
        <v>IPUMPEELC</v>
      </c>
      <c r="C26" t="s">
        <v>178</v>
      </c>
      <c r="D26" s="111" t="str">
        <f>$O$8</f>
        <v>DIPUMP</v>
      </c>
      <c r="E26" s="73">
        <f>'EB1'!$U$7*'EB1'!$U$23/(G26*H26)*1.01</f>
        <v>0.24567332813926943</v>
      </c>
      <c r="F26" s="119">
        <v>0.6</v>
      </c>
      <c r="G26" s="119">
        <v>0.5</v>
      </c>
      <c r="H26" s="117">
        <v>31.536000000000001</v>
      </c>
      <c r="I26" s="42">
        <v>10</v>
      </c>
      <c r="J26" s="102"/>
      <c r="K26" s="120">
        <f t="shared" si="3"/>
        <v>3.8737770381000005</v>
      </c>
      <c r="M26" s="107" t="s">
        <v>97</v>
      </c>
      <c r="O26" s="111" t="s">
        <v>195</v>
      </c>
      <c r="P26" s="111" t="s">
        <v>204</v>
      </c>
      <c r="Q26" s="111" t="str">
        <f t="shared" si="0"/>
        <v>PJ</v>
      </c>
      <c r="R26" s="111" t="str">
        <f t="shared" si="1"/>
        <v>PJa</v>
      </c>
    </row>
    <row r="27" spans="2:21" x14ac:dyDescent="0.2">
      <c r="B27" s="111" t="str">
        <f t="shared" si="2"/>
        <v>IMOTOEELC</v>
      </c>
      <c r="C27" t="s">
        <v>178</v>
      </c>
      <c r="D27" s="111" t="str">
        <f>$O$9</f>
        <v>DIMOTO</v>
      </c>
      <c r="E27" s="73">
        <f>'EB1'!$U$7*'EB1'!$U$24/(G27*H27)*1.01</f>
        <v>0.28574701535038105</v>
      </c>
      <c r="F27" s="119">
        <v>0.9</v>
      </c>
      <c r="G27" s="119">
        <v>0.5</v>
      </c>
      <c r="H27" s="117">
        <v>32.536000000000001</v>
      </c>
      <c r="I27" s="42">
        <v>10</v>
      </c>
      <c r="J27" s="102"/>
      <c r="K27" s="120">
        <f t="shared" ref="K27" si="5">E27*G27*H27</f>
        <v>4.648532445719999</v>
      </c>
      <c r="M27" s="107" t="s">
        <v>97</v>
      </c>
      <c r="O27" s="111" t="s">
        <v>196</v>
      </c>
      <c r="P27" s="111" t="s">
        <v>205</v>
      </c>
      <c r="Q27" s="111" t="str">
        <f t="shared" si="0"/>
        <v>PJ</v>
      </c>
      <c r="R27" s="111" t="str">
        <f t="shared" si="1"/>
        <v>PJa</v>
      </c>
    </row>
    <row r="28" spans="2:21" x14ac:dyDescent="0.2">
      <c r="I28" s="102"/>
      <c r="J28" s="102"/>
      <c r="K28" s="17"/>
    </row>
    <row r="29" spans="2:21" x14ac:dyDescent="0.2">
      <c r="I29" s="102"/>
      <c r="J29" s="102"/>
      <c r="K29" s="17">
        <f>SUM(K18:K27)</f>
        <v>106.2144142236</v>
      </c>
    </row>
    <row r="30" spans="2:21" x14ac:dyDescent="0.2">
      <c r="B30" s="42"/>
      <c r="C30" s="1" t="s">
        <v>143</v>
      </c>
      <c r="I30" s="102"/>
      <c r="J30" s="102"/>
    </row>
    <row r="31" spans="2:21" x14ac:dyDescent="0.2">
      <c r="B31" s="72"/>
      <c r="C31" s="1" t="s">
        <v>144</v>
      </c>
      <c r="I31" s="102"/>
      <c r="J31" s="102"/>
    </row>
    <row r="32" spans="2:21" x14ac:dyDescent="0.2">
      <c r="I32" s="102"/>
      <c r="J32" s="102"/>
      <c r="L32" s="1"/>
    </row>
    <row r="33" spans="5:12" x14ac:dyDescent="0.2">
      <c r="L33" s="1"/>
    </row>
    <row r="34" spans="5:12" x14ac:dyDescent="0.2">
      <c r="L34" s="1"/>
    </row>
    <row r="35" spans="5:12" x14ac:dyDescent="0.2">
      <c r="E35" s="7"/>
      <c r="L35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3"/>
  <sheetViews>
    <sheetView tabSelected="1" topLeftCell="B1" workbookViewId="0">
      <selection activeCell="T23" sqref="T23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7109375" bestFit="1" customWidth="1"/>
    <col min="6" max="6" width="13.140625" bestFit="1" customWidth="1"/>
    <col min="7" max="7" width="11.28515625" customWidth="1"/>
    <col min="8" max="8" width="12.140625" bestFit="1" customWidth="1"/>
    <col min="9" max="9" width="10.5703125" bestFit="1" customWidth="1"/>
    <col min="10" max="10" width="5" bestFit="1" customWidth="1"/>
    <col min="11" max="11" width="11.42578125" bestFit="1" customWidth="1"/>
    <col min="12" max="12" width="13.5703125" customWidth="1"/>
    <col min="13" max="13" width="5" bestFit="1" customWidth="1"/>
  </cols>
  <sheetData>
    <row r="1" spans="2:10" ht="15" x14ac:dyDescent="0.25">
      <c r="B1" s="8" t="s">
        <v>75</v>
      </c>
      <c r="C1" s="8" t="s">
        <v>76</v>
      </c>
      <c r="D1" s="8" t="s">
        <v>77</v>
      </c>
      <c r="E1" s="8" t="s">
        <v>79</v>
      </c>
      <c r="F1" s="8" t="s">
        <v>80</v>
      </c>
    </row>
    <row r="2" spans="2:10" ht="15.75" x14ac:dyDescent="0.25">
      <c r="B2" s="10" t="s">
        <v>85</v>
      </c>
      <c r="C2" s="10"/>
      <c r="D2" s="10"/>
      <c r="E2" s="10" t="str">
        <f>'EB1'!Z2</f>
        <v>PJ</v>
      </c>
      <c r="F2" s="10" t="str">
        <f>'EB1'!Y2</f>
        <v>M$2021</v>
      </c>
    </row>
    <row r="5" spans="2:10" x14ac:dyDescent="0.2">
      <c r="C5" s="3" t="s">
        <v>13</v>
      </c>
      <c r="D5" s="3"/>
      <c r="E5" s="1"/>
      <c r="I5" s="3" t="s">
        <v>13</v>
      </c>
      <c r="J5" s="1"/>
    </row>
    <row r="6" spans="2:10" x14ac:dyDescent="0.2">
      <c r="B6" s="2" t="s">
        <v>82</v>
      </c>
      <c r="C6" s="2" t="s">
        <v>0</v>
      </c>
      <c r="D6" s="2" t="s">
        <v>137</v>
      </c>
      <c r="E6" s="84">
        <v>2021</v>
      </c>
      <c r="G6" s="2" t="s">
        <v>82</v>
      </c>
      <c r="H6" s="2" t="s">
        <v>0</v>
      </c>
      <c r="I6" s="2" t="s">
        <v>117</v>
      </c>
      <c r="J6" s="2">
        <v>2021</v>
      </c>
    </row>
    <row r="7" spans="2:10" ht="33.75" x14ac:dyDescent="0.2">
      <c r="B7" s="16" t="s">
        <v>83</v>
      </c>
      <c r="C7" s="16" t="s">
        <v>84</v>
      </c>
      <c r="D7" s="16" t="s">
        <v>138</v>
      </c>
      <c r="E7" s="82" t="s">
        <v>36</v>
      </c>
      <c r="G7" s="16" t="s">
        <v>83</v>
      </c>
      <c r="H7" s="16" t="s">
        <v>84</v>
      </c>
      <c r="I7" s="16"/>
      <c r="J7" s="16"/>
    </row>
    <row r="8" spans="2:10" ht="13.5" thickBot="1" x14ac:dyDescent="0.25">
      <c r="B8" s="16" t="s">
        <v>92</v>
      </c>
      <c r="C8" s="16"/>
      <c r="D8" s="16"/>
      <c r="E8" s="82" t="str">
        <f>E2</f>
        <v>PJ</v>
      </c>
      <c r="G8" s="15" t="s">
        <v>92</v>
      </c>
      <c r="H8" s="15"/>
      <c r="I8" s="15"/>
      <c r="J8" s="15"/>
    </row>
    <row r="9" spans="2:10" x14ac:dyDescent="0.2">
      <c r="B9" t="s">
        <v>35</v>
      </c>
      <c r="C9" t="str">
        <f>DemTechs_IND!$O5</f>
        <v>DIBOIL</v>
      </c>
      <c r="D9" s="1" t="s">
        <v>78</v>
      </c>
      <c r="E9" s="76">
        <f>SUM(DemTechs_IND!K18:K21)</f>
        <v>81.975329810820014</v>
      </c>
      <c r="G9" s="1" t="s">
        <v>118</v>
      </c>
      <c r="H9" s="1" t="str">
        <f>DemTechs_IND!$O$5</f>
        <v>DIBOIL</v>
      </c>
      <c r="I9" s="24" t="s">
        <v>161</v>
      </c>
      <c r="J9" s="73">
        <v>0.35</v>
      </c>
    </row>
    <row r="10" spans="2:10" x14ac:dyDescent="0.2">
      <c r="B10" t="s">
        <v>35</v>
      </c>
      <c r="C10" t="str">
        <f>DemTechs_IND!$O6</f>
        <v>DIOAPP</v>
      </c>
      <c r="D10" s="1" t="s">
        <v>78</v>
      </c>
      <c r="E10" s="76">
        <f>SUM(DemTechs_IND!K22:K24)</f>
        <v>12.61775329848</v>
      </c>
      <c r="G10" s="1" t="s">
        <v>118</v>
      </c>
      <c r="H10" s="1" t="str">
        <f>DemTechs_IND!$O$5</f>
        <v>DIBOIL</v>
      </c>
      <c r="I10" s="24" t="s">
        <v>162</v>
      </c>
      <c r="J10" s="73">
        <v>0.15</v>
      </c>
    </row>
    <row r="11" spans="2:10" x14ac:dyDescent="0.2">
      <c r="B11" t="s">
        <v>35</v>
      </c>
      <c r="C11" t="str">
        <f>DemTechs_IND!$O7</f>
        <v>DICOMP</v>
      </c>
      <c r="D11" s="1" t="s">
        <v>78</v>
      </c>
      <c r="E11" s="76">
        <f>DemTechs_IND!K25</f>
        <v>3.0990216304800007</v>
      </c>
      <c r="G11" s="1" t="s">
        <v>118</v>
      </c>
      <c r="H11" s="1" t="str">
        <f>DemTechs_IND!$O$5</f>
        <v>DIBOIL</v>
      </c>
      <c r="I11" s="24" t="s">
        <v>163</v>
      </c>
      <c r="J11" s="73">
        <f>1-J9-J10-J12</f>
        <v>0.35</v>
      </c>
    </row>
    <row r="12" spans="2:10" x14ac:dyDescent="0.2">
      <c r="B12" t="s">
        <v>35</v>
      </c>
      <c r="C12" t="str">
        <f>DemTechs_IND!$O8</f>
        <v>DIPUMP</v>
      </c>
      <c r="D12" s="1" t="s">
        <v>78</v>
      </c>
      <c r="E12" s="76">
        <f>DemTechs_IND!K26</f>
        <v>3.8737770381000005</v>
      </c>
      <c r="G12" s="28" t="s">
        <v>118</v>
      </c>
      <c r="H12" s="28" t="str">
        <f>DemTechs_IND!$O$5</f>
        <v>DIBOIL</v>
      </c>
      <c r="I12" s="29" t="s">
        <v>164</v>
      </c>
      <c r="J12" s="77">
        <v>0.15</v>
      </c>
    </row>
    <row r="13" spans="2:10" x14ac:dyDescent="0.2">
      <c r="B13" t="s">
        <v>35</v>
      </c>
      <c r="C13" t="str">
        <f>DemTechs_IND!$O9</f>
        <v>DIMOTO</v>
      </c>
      <c r="D13" s="1" t="s">
        <v>78</v>
      </c>
      <c r="E13" s="76">
        <f>DemTechs_IND!K27</f>
        <v>4.648532445719999</v>
      </c>
      <c r="G13" s="1" t="s">
        <v>118</v>
      </c>
      <c r="H13" s="1" t="str">
        <f>DemTechs_IND!$O$6</f>
        <v>DIOAPP</v>
      </c>
      <c r="I13" s="24" t="s">
        <v>161</v>
      </c>
      <c r="J13" s="73">
        <v>0.35</v>
      </c>
    </row>
    <row r="14" spans="2:10" x14ac:dyDescent="0.2">
      <c r="E14" s="26"/>
      <c r="G14" s="1" t="s">
        <v>118</v>
      </c>
      <c r="H14" s="1" t="str">
        <f>DemTechs_IND!$O$6</f>
        <v>DIOAPP</v>
      </c>
      <c r="I14" s="24" t="s">
        <v>162</v>
      </c>
      <c r="J14" s="73">
        <v>0.15</v>
      </c>
    </row>
    <row r="15" spans="2:10" x14ac:dyDescent="0.2">
      <c r="E15" s="146">
        <f>SUM(E9:E13)</f>
        <v>106.2144142236</v>
      </c>
      <c r="G15" s="1" t="s">
        <v>118</v>
      </c>
      <c r="H15" s="1" t="str">
        <f>DemTechs_IND!$O$6</f>
        <v>DIOAPP</v>
      </c>
      <c r="I15" s="24" t="s">
        <v>163</v>
      </c>
      <c r="J15" s="73">
        <f>1-J13-J14-J16</f>
        <v>0.35</v>
      </c>
    </row>
    <row r="16" spans="2:10" x14ac:dyDescent="0.2">
      <c r="E16" s="26"/>
      <c r="G16" s="28" t="s">
        <v>118</v>
      </c>
      <c r="H16" s="28" t="str">
        <f>DemTechs_IND!$O$6</f>
        <v>DIOAPP</v>
      </c>
      <c r="I16" s="29" t="s">
        <v>164</v>
      </c>
      <c r="J16" s="77">
        <v>0.15</v>
      </c>
    </row>
    <row r="17" spans="2:10" x14ac:dyDescent="0.2">
      <c r="E17" s="26"/>
      <c r="G17" s="1" t="s">
        <v>118</v>
      </c>
      <c r="H17" s="1" t="str">
        <f>DemTechs_IND!$O$7</f>
        <v>DICOMP</v>
      </c>
      <c r="I17" s="24" t="s">
        <v>161</v>
      </c>
      <c r="J17" s="73">
        <v>0.35</v>
      </c>
    </row>
    <row r="18" spans="2:10" x14ac:dyDescent="0.2">
      <c r="E18" s="26"/>
      <c r="G18" s="1" t="s">
        <v>118</v>
      </c>
      <c r="H18" s="1" t="str">
        <f>DemTechs_IND!$O$7</f>
        <v>DICOMP</v>
      </c>
      <c r="I18" s="24" t="s">
        <v>162</v>
      </c>
      <c r="J18" s="73">
        <v>0.15</v>
      </c>
    </row>
    <row r="19" spans="2:10" x14ac:dyDescent="0.2">
      <c r="E19" s="26"/>
      <c r="G19" s="1" t="s">
        <v>118</v>
      </c>
      <c r="H19" s="1" t="str">
        <f>DemTechs_IND!$O$7</f>
        <v>DICOMP</v>
      </c>
      <c r="I19" s="24" t="s">
        <v>163</v>
      </c>
      <c r="J19" s="73">
        <f>1-J17-J18-J20</f>
        <v>0.35</v>
      </c>
    </row>
    <row r="20" spans="2:10" x14ac:dyDescent="0.2">
      <c r="E20" s="26"/>
      <c r="G20" s="28" t="s">
        <v>118</v>
      </c>
      <c r="H20" s="28" t="str">
        <f>DemTechs_IND!$O$7</f>
        <v>DICOMP</v>
      </c>
      <c r="I20" s="29" t="s">
        <v>164</v>
      </c>
      <c r="J20" s="77">
        <v>0.15</v>
      </c>
    </row>
    <row r="21" spans="2:10" x14ac:dyDescent="0.2">
      <c r="E21" s="26"/>
      <c r="G21" s="1" t="s">
        <v>118</v>
      </c>
      <c r="H21" s="1" t="str">
        <f>DemTechs_IND!$O$8</f>
        <v>DIPUMP</v>
      </c>
      <c r="I21" s="24" t="s">
        <v>161</v>
      </c>
      <c r="J21" s="73">
        <v>0.35</v>
      </c>
    </row>
    <row r="22" spans="2:10" x14ac:dyDescent="0.2">
      <c r="E22" s="26"/>
      <c r="G22" s="1" t="s">
        <v>118</v>
      </c>
      <c r="H22" s="1" t="str">
        <f>DemTechs_IND!$O$8</f>
        <v>DIPUMP</v>
      </c>
      <c r="I22" s="24" t="s">
        <v>162</v>
      </c>
      <c r="J22" s="73">
        <v>0.15</v>
      </c>
    </row>
    <row r="23" spans="2:10" x14ac:dyDescent="0.2">
      <c r="E23" s="26"/>
      <c r="G23" s="1" t="s">
        <v>118</v>
      </c>
      <c r="H23" s="1" t="str">
        <f>DemTechs_IND!$O$8</f>
        <v>DIPUMP</v>
      </c>
      <c r="I23" s="24" t="s">
        <v>163</v>
      </c>
      <c r="J23" s="73">
        <f>1-J21-J22-J24</f>
        <v>0.35</v>
      </c>
    </row>
    <row r="24" spans="2:10" x14ac:dyDescent="0.2">
      <c r="E24" s="7"/>
      <c r="G24" s="28" t="s">
        <v>118</v>
      </c>
      <c r="H24" s="28" t="str">
        <f>DemTechs_IND!$O$8</f>
        <v>DIPUMP</v>
      </c>
      <c r="I24" s="29" t="s">
        <v>164</v>
      </c>
      <c r="J24" s="77">
        <v>0.15</v>
      </c>
    </row>
    <row r="25" spans="2:10" x14ac:dyDescent="0.2">
      <c r="G25" s="1" t="s">
        <v>118</v>
      </c>
      <c r="H25" s="1" t="str">
        <f>DemTechs_IND!$O$9</f>
        <v>DIMOTO</v>
      </c>
      <c r="I25" s="24" t="s">
        <v>161</v>
      </c>
      <c r="J25" s="73">
        <v>0.35</v>
      </c>
    </row>
    <row r="26" spans="2:10" x14ac:dyDescent="0.2">
      <c r="E26" s="7"/>
      <c r="G26" s="1" t="s">
        <v>118</v>
      </c>
      <c r="H26" s="1" t="str">
        <f>DemTechs_IND!$O$9</f>
        <v>DIMOTO</v>
      </c>
      <c r="I26" s="24" t="s">
        <v>162</v>
      </c>
      <c r="J26" s="73">
        <v>0.15</v>
      </c>
    </row>
    <row r="27" spans="2:10" x14ac:dyDescent="0.2">
      <c r="G27" s="1" t="s">
        <v>118</v>
      </c>
      <c r="H27" s="1" t="str">
        <f>DemTechs_IND!$O$9</f>
        <v>DIMOTO</v>
      </c>
      <c r="I27" s="24" t="s">
        <v>163</v>
      </c>
      <c r="J27" s="73">
        <f>1-J25-J26-J28</f>
        <v>0.35</v>
      </c>
    </row>
    <row r="28" spans="2:10" x14ac:dyDescent="0.2">
      <c r="G28" s="28" t="s">
        <v>118</v>
      </c>
      <c r="H28" s="28" t="str">
        <f>DemTechs_IND!$O$9</f>
        <v>DIMOTO</v>
      </c>
      <c r="I28" s="29" t="s">
        <v>164</v>
      </c>
      <c r="J28" s="77">
        <v>0.15</v>
      </c>
    </row>
    <row r="32" spans="2:10" x14ac:dyDescent="0.2">
      <c r="B32" s="42"/>
      <c r="C32" s="1" t="s">
        <v>143</v>
      </c>
    </row>
    <row r="33" spans="2:3" x14ac:dyDescent="0.2">
      <c r="B33" s="72"/>
      <c r="C33" s="1" t="s">
        <v>144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J12" sqref="J12"/>
    </sheetView>
  </sheetViews>
  <sheetFormatPr defaultRowHeight="12.75" x14ac:dyDescent="0.2"/>
  <cols>
    <col min="2" max="2" width="14.42578125" customWidth="1"/>
  </cols>
  <sheetData>
    <row r="3" spans="2:9" ht="17.45" customHeight="1" x14ac:dyDescent="0.25">
      <c r="B3" s="33" t="s">
        <v>149</v>
      </c>
      <c r="C3" s="33"/>
      <c r="D3" s="33"/>
      <c r="E3" s="33"/>
      <c r="F3" s="33"/>
      <c r="G3" s="33"/>
      <c r="H3" s="33"/>
      <c r="I3" s="33"/>
    </row>
    <row r="4" spans="2:9" ht="17.45" customHeight="1" x14ac:dyDescent="0.25">
      <c r="B4" s="34"/>
      <c r="C4" s="34"/>
      <c r="D4" s="34"/>
      <c r="E4" s="34"/>
      <c r="F4" s="34"/>
      <c r="G4" s="34"/>
    </row>
    <row r="5" spans="2:9" ht="18" x14ac:dyDescent="0.25">
      <c r="B5" s="31" t="s">
        <v>136</v>
      </c>
      <c r="C5" s="32"/>
    </row>
    <row r="6" spans="2:9" ht="13.5" thickBot="1" x14ac:dyDescent="0.25">
      <c r="B6" s="36" t="s">
        <v>0</v>
      </c>
      <c r="C6" s="36" t="str">
        <f>Sector_Fuels!$L$5</f>
        <v>INDCOA</v>
      </c>
      <c r="D6" s="36" t="str">
        <f>Sector_Fuels!$L$6</f>
        <v>INDGAS</v>
      </c>
      <c r="E6" s="36" t="str">
        <f>Sector_Fuels!$L$7</f>
        <v>INDDSL</v>
      </c>
      <c r="F6" s="36" t="s">
        <v>177</v>
      </c>
      <c r="G6" s="35"/>
      <c r="H6" s="1"/>
    </row>
    <row r="7" spans="2:9" ht="13.5" thickBot="1" x14ac:dyDescent="0.25">
      <c r="B7" s="15" t="s">
        <v>92</v>
      </c>
      <c r="C7" s="15" t="s">
        <v>142</v>
      </c>
      <c r="D7" s="15" t="s">
        <v>142</v>
      </c>
      <c r="E7" s="15" t="s">
        <v>142</v>
      </c>
      <c r="F7" s="15" t="s">
        <v>142</v>
      </c>
      <c r="G7" s="101"/>
      <c r="H7" s="1"/>
    </row>
    <row r="8" spans="2:9" x14ac:dyDescent="0.2">
      <c r="B8" s="35" t="str">
        <f>DemTechs_IND!O10</f>
        <v>INDCO2</v>
      </c>
      <c r="C8" s="76">
        <v>95</v>
      </c>
      <c r="D8" s="76">
        <v>56.1</v>
      </c>
      <c r="E8" s="76">
        <v>76.400000000000006</v>
      </c>
      <c r="F8" s="76">
        <v>112</v>
      </c>
      <c r="G8" s="17"/>
      <c r="H8" s="1"/>
    </row>
    <row r="23" spans="2:3" x14ac:dyDescent="0.2">
      <c r="B23" s="42"/>
      <c r="C23" s="1" t="s">
        <v>143</v>
      </c>
    </row>
    <row r="24" spans="2:3" x14ac:dyDescent="0.2">
      <c r="B24" s="72"/>
      <c r="C24" s="1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RES_IND</vt:lpstr>
      <vt:lpstr>Sector_Fuels</vt:lpstr>
      <vt:lpstr>DemTechs_IND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2026-10-19T06:22:15Z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250667750835418</vt:r8>
  </property>
</Properties>
</file>